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quelrosenbloom/Desktop/Desktop/Georgetown/Thesis/"/>
    </mc:Choice>
  </mc:AlternateContent>
  <xr:revisionPtr revIDLastSave="0" documentId="13_ncr:1_{1C2D6572-0D10-6E47-A73E-622C8B024287}" xr6:coauthVersionLast="47" xr6:coauthVersionMax="47" xr10:uidLastSave="{00000000-0000-0000-0000-000000000000}"/>
  <bookViews>
    <workbookView xWindow="11040" yWindow="500" windowWidth="19580" windowHeight="15740" xr2:uid="{D7D9F1C0-7064-EF46-87F9-236F155E2811}"/>
  </bookViews>
  <sheets>
    <sheet name="all" sheetId="1" r:id="rId1"/>
    <sheet name="unemployment" sheetId="7" r:id="rId2"/>
    <sheet name="refugeeemployment" sheetId="8" r:id="rId3"/>
    <sheet name="education" sheetId="2" r:id="rId4"/>
    <sheet name="race" sheetId="3" r:id="rId5"/>
    <sheet name="language" sheetId="5" r:id="rId6"/>
    <sheet name="birth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A3" i="8"/>
  <c r="A5" i="7"/>
  <c r="A3" i="7"/>
  <c r="A5" i="6"/>
  <c r="A3" i="6"/>
  <c r="A5" i="5"/>
  <c r="A3" i="5"/>
</calcChain>
</file>

<file path=xl/sharedStrings.xml><?xml version="1.0" encoding="utf-8"?>
<sst xmlns="http://schemas.openxmlformats.org/spreadsheetml/2006/main" count="220" uniqueCount="34">
  <si>
    <t>no</t>
  </si>
  <si>
    <t>pct</t>
  </si>
  <si>
    <t>stat</t>
  </si>
  <si>
    <t>wf</t>
  </si>
  <si>
    <t>Englishonly</t>
  </si>
  <si>
    <t>foreignborn</t>
  </si>
  <si>
    <t>black</t>
  </si>
  <si>
    <t>white</t>
  </si>
  <si>
    <t>asian</t>
  </si>
  <si>
    <t>raceother</t>
  </si>
  <si>
    <t>indnative</t>
  </si>
  <si>
    <t>lesshs</t>
  </si>
  <si>
    <t>hs</t>
  </si>
  <si>
    <t>somecoll</t>
  </si>
  <si>
    <t>bach</t>
  </si>
  <si>
    <t>grad</t>
  </si>
  <si>
    <t>ur</t>
  </si>
  <si>
    <t>peremployed</t>
  </si>
  <si>
    <t>yes</t>
  </si>
  <si>
    <t>identity</t>
  </si>
  <si>
    <t>English only</t>
  </si>
  <si>
    <t>Foreign born</t>
  </si>
  <si>
    <t>race</t>
  </si>
  <si>
    <t>education</t>
  </si>
  <si>
    <t>unemployment</t>
  </si>
  <si>
    <t>percent employed</t>
  </si>
  <si>
    <t>Othlang</t>
  </si>
  <si>
    <t>language</t>
  </si>
  <si>
    <t>nativeborn</t>
  </si>
  <si>
    <t>place of birth</t>
  </si>
  <si>
    <t>unemployed</t>
  </si>
  <si>
    <t>employed</t>
  </si>
  <si>
    <t>employment</t>
  </si>
  <si>
    <t>Refugee 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</si>
</sst>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EDDF-0598-2645-A23B-2D4F02B7F220}">
  <dimension ref="A1:U31"/>
  <sheetViews>
    <sheetView tabSelected="1" workbookViewId="0">
      <selection activeCell="C28" sqref="C28"/>
    </sheetView>
  </sheetViews>
  <sheetFormatPr baseColWidth="10" defaultRowHeight="16" x14ac:dyDescent="0.2"/>
  <cols>
    <col min="2" max="2" width="15" customWidth="1"/>
  </cols>
  <sheetData>
    <row r="1" spans="1:21" x14ac:dyDescent="0.2">
      <c r="A1" t="s">
        <v>1</v>
      </c>
      <c r="B1" t="s">
        <v>2</v>
      </c>
      <c r="C1" t="s">
        <v>3</v>
      </c>
      <c r="D1" t="s">
        <v>19</v>
      </c>
    </row>
    <row r="2" spans="1:21" x14ac:dyDescent="0.2">
      <c r="A2">
        <v>0.84052629999999995</v>
      </c>
      <c r="B2" t="s">
        <v>4</v>
      </c>
      <c r="C2" t="s">
        <v>0</v>
      </c>
      <c r="D2" t="s">
        <v>20</v>
      </c>
    </row>
    <row r="3" spans="1:21" x14ac:dyDescent="0.2">
      <c r="A3">
        <v>0.10105263</v>
      </c>
      <c r="B3" t="s">
        <v>5</v>
      </c>
      <c r="C3" t="s">
        <v>0</v>
      </c>
      <c r="D3" t="s">
        <v>21</v>
      </c>
    </row>
    <row r="4" spans="1:21" x14ac:dyDescent="0.2">
      <c r="A4">
        <v>0.12157895000000001</v>
      </c>
      <c r="B4" t="s">
        <v>6</v>
      </c>
      <c r="C4" t="s">
        <v>0</v>
      </c>
      <c r="D4" t="s">
        <v>22</v>
      </c>
    </row>
    <row r="5" spans="1:21" x14ac:dyDescent="0.2">
      <c r="A5">
        <v>0.74736840000000004</v>
      </c>
      <c r="B5" t="s">
        <v>7</v>
      </c>
      <c r="C5" t="s">
        <v>0</v>
      </c>
      <c r="D5" t="s">
        <v>22</v>
      </c>
    </row>
    <row r="6" spans="1:21" x14ac:dyDescent="0.2">
      <c r="A6">
        <v>4.6052629999999997E-2</v>
      </c>
      <c r="B6" t="s">
        <v>8</v>
      </c>
      <c r="C6" t="s">
        <v>0</v>
      </c>
      <c r="D6" t="s">
        <v>22</v>
      </c>
    </row>
    <row r="7" spans="1:21" x14ac:dyDescent="0.2">
      <c r="A7">
        <v>3.447368E-2</v>
      </c>
      <c r="B7" t="s">
        <v>9</v>
      </c>
      <c r="C7" t="s">
        <v>0</v>
      </c>
      <c r="D7" t="s">
        <v>22</v>
      </c>
    </row>
    <row r="8" spans="1:21" x14ac:dyDescent="0.2">
      <c r="A8">
        <v>1.1842109999999999E-2</v>
      </c>
      <c r="B8" t="s">
        <v>10</v>
      </c>
      <c r="C8" t="s">
        <v>0</v>
      </c>
      <c r="D8" t="s">
        <v>22</v>
      </c>
    </row>
    <row r="9" spans="1:21" x14ac:dyDescent="0.2">
      <c r="A9">
        <v>0.10947369999999999</v>
      </c>
      <c r="B9" t="s">
        <v>11</v>
      </c>
      <c r="C9" t="s">
        <v>0</v>
      </c>
      <c r="D9" t="s">
        <v>23</v>
      </c>
    </row>
    <row r="10" spans="1:21" x14ac:dyDescent="0.2">
      <c r="A10">
        <v>0.28000000000000003</v>
      </c>
      <c r="B10" t="s">
        <v>12</v>
      </c>
      <c r="C10" t="s">
        <v>0</v>
      </c>
      <c r="D10" t="s">
        <v>23</v>
      </c>
    </row>
    <row r="11" spans="1:21" x14ac:dyDescent="0.2">
      <c r="A11">
        <v>0.29578949999999998</v>
      </c>
      <c r="B11" t="s">
        <v>13</v>
      </c>
      <c r="C11" t="s">
        <v>0</v>
      </c>
      <c r="D11" t="s">
        <v>23</v>
      </c>
    </row>
    <row r="12" spans="1:21" x14ac:dyDescent="0.2">
      <c r="A12">
        <v>0.19421050000000001</v>
      </c>
      <c r="B12" t="s">
        <v>14</v>
      </c>
      <c r="C12" t="s">
        <v>0</v>
      </c>
      <c r="D12" t="s">
        <v>23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>
        <v>0.1228947</v>
      </c>
      <c r="B13" t="s">
        <v>15</v>
      </c>
      <c r="C13" t="s">
        <v>0</v>
      </c>
      <c r="D13" t="s">
        <v>23</v>
      </c>
    </row>
    <row r="14" spans="1:21" x14ac:dyDescent="0.2">
      <c r="A14">
        <v>4.2092099999999997</v>
      </c>
      <c r="B14" t="s">
        <v>16</v>
      </c>
      <c r="C14" t="s">
        <v>0</v>
      </c>
      <c r="D14" t="s">
        <v>24</v>
      </c>
    </row>
    <row r="15" spans="1:21" x14ac:dyDescent="0.2">
      <c r="A15">
        <v>0.54946269999999997</v>
      </c>
      <c r="B15" t="s">
        <v>17</v>
      </c>
      <c r="C15" t="s">
        <v>0</v>
      </c>
      <c r="D15" t="s">
        <v>25</v>
      </c>
    </row>
    <row r="16" spans="1:21" x14ac:dyDescent="0.2">
      <c r="A16" s="1">
        <v>0.85909089999999999</v>
      </c>
      <c r="B16" t="s">
        <v>4</v>
      </c>
      <c r="C16" t="s">
        <v>18</v>
      </c>
      <c r="D16" t="s">
        <v>20</v>
      </c>
    </row>
    <row r="17" spans="1:4" x14ac:dyDescent="0.2">
      <c r="A17" s="1">
        <v>8.5454550000000004E-2</v>
      </c>
      <c r="B17" t="s">
        <v>5</v>
      </c>
      <c r="C17" t="s">
        <v>18</v>
      </c>
      <c r="D17" t="s">
        <v>21</v>
      </c>
    </row>
    <row r="18" spans="1:4" x14ac:dyDescent="0.2">
      <c r="A18" s="1">
        <v>5.9090910000000003E-2</v>
      </c>
      <c r="B18" t="s">
        <v>6</v>
      </c>
      <c r="C18" t="s">
        <v>18</v>
      </c>
      <c r="D18" t="s">
        <v>22</v>
      </c>
    </row>
    <row r="19" spans="1:4" x14ac:dyDescent="0.2">
      <c r="A19" s="1">
        <v>0.82090909999999995</v>
      </c>
      <c r="B19" t="s">
        <v>7</v>
      </c>
      <c r="C19" t="s">
        <v>18</v>
      </c>
      <c r="D19" t="s">
        <v>22</v>
      </c>
    </row>
    <row r="20" spans="1:4" x14ac:dyDescent="0.2">
      <c r="A20" s="1">
        <v>3.3636369999999999E-2</v>
      </c>
      <c r="B20" t="s">
        <v>8</v>
      </c>
      <c r="C20" t="s">
        <v>18</v>
      </c>
      <c r="D20" t="s">
        <v>22</v>
      </c>
    </row>
    <row r="21" spans="1:4" x14ac:dyDescent="0.2">
      <c r="A21" s="1">
        <v>2.818182E-2</v>
      </c>
      <c r="B21" t="s">
        <v>9</v>
      </c>
      <c r="C21" t="s">
        <v>18</v>
      </c>
      <c r="D21" t="s">
        <v>22</v>
      </c>
    </row>
    <row r="22" spans="1:4" x14ac:dyDescent="0.2">
      <c r="A22" s="1">
        <v>0.03</v>
      </c>
      <c r="B22" t="s">
        <v>10</v>
      </c>
      <c r="C22" t="s">
        <v>18</v>
      </c>
      <c r="D22" t="s">
        <v>22</v>
      </c>
    </row>
    <row r="23" spans="1:4" x14ac:dyDescent="0.2">
      <c r="A23" s="1">
        <v>0.13</v>
      </c>
      <c r="B23" t="s">
        <v>11</v>
      </c>
      <c r="C23" t="s">
        <v>18</v>
      </c>
      <c r="D23" t="s">
        <v>23</v>
      </c>
    </row>
    <row r="24" spans="1:4" x14ac:dyDescent="0.2">
      <c r="A24" s="1">
        <v>0.2863636</v>
      </c>
      <c r="B24" t="s">
        <v>12</v>
      </c>
      <c r="C24" t="s">
        <v>18</v>
      </c>
      <c r="D24" t="s">
        <v>23</v>
      </c>
    </row>
    <row r="25" spans="1:4" x14ac:dyDescent="0.2">
      <c r="A25" s="1">
        <v>0.30363639999999997</v>
      </c>
      <c r="B25" t="s">
        <v>13</v>
      </c>
      <c r="C25" t="s">
        <v>18</v>
      </c>
      <c r="D25" t="s">
        <v>23</v>
      </c>
    </row>
    <row r="26" spans="1:4" x14ac:dyDescent="0.2">
      <c r="A26" s="1">
        <v>0.1790909</v>
      </c>
      <c r="B26" t="s">
        <v>14</v>
      </c>
      <c r="C26" t="s">
        <v>18</v>
      </c>
      <c r="D26" t="s">
        <v>23</v>
      </c>
    </row>
    <row r="27" spans="1:4" x14ac:dyDescent="0.2">
      <c r="A27" s="1">
        <v>0.1</v>
      </c>
      <c r="B27" t="s">
        <v>15</v>
      </c>
      <c r="C27" t="s">
        <v>18</v>
      </c>
      <c r="D27" t="s">
        <v>23</v>
      </c>
    </row>
    <row r="28" spans="1:4" x14ac:dyDescent="0.2">
      <c r="A28" s="1">
        <v>4.5333329999999998</v>
      </c>
      <c r="B28" t="s">
        <v>16</v>
      </c>
      <c r="C28" t="s">
        <v>18</v>
      </c>
      <c r="D28" t="s">
        <v>24</v>
      </c>
    </row>
    <row r="29" spans="1:4" x14ac:dyDescent="0.2">
      <c r="A29" s="1">
        <v>0.72154660000000004</v>
      </c>
      <c r="B29" t="s">
        <v>17</v>
      </c>
      <c r="C29" t="s">
        <v>18</v>
      </c>
      <c r="D29" t="s">
        <v>25</v>
      </c>
    </row>
    <row r="31" spans="1:4" x14ac:dyDescent="0.2">
      <c r="A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6A9A-4747-3048-BBD2-D40F832F9AB8}">
  <dimension ref="A1:D5"/>
  <sheetViews>
    <sheetView workbookViewId="0">
      <selection activeCell="A9" sqref="A9"/>
    </sheetView>
  </sheetViews>
  <sheetFormatPr baseColWidth="10" defaultRowHeight="16" x14ac:dyDescent="0.2"/>
  <cols>
    <col min="4" max="4" width="12.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19</v>
      </c>
    </row>
    <row r="2" spans="1:4" x14ac:dyDescent="0.2">
      <c r="A2">
        <v>4.2092099999999997</v>
      </c>
      <c r="B2" t="s">
        <v>30</v>
      </c>
      <c r="C2" t="s">
        <v>0</v>
      </c>
      <c r="D2" t="s">
        <v>32</v>
      </c>
    </row>
    <row r="3" spans="1:4" x14ac:dyDescent="0.2">
      <c r="A3">
        <f>100-A2</f>
        <v>95.790790000000001</v>
      </c>
      <c r="B3" t="s">
        <v>31</v>
      </c>
      <c r="C3" t="s">
        <v>0</v>
      </c>
      <c r="D3" t="s">
        <v>32</v>
      </c>
    </row>
    <row r="4" spans="1:4" x14ac:dyDescent="0.2">
      <c r="A4" s="1">
        <v>4.5333329999999998</v>
      </c>
      <c r="B4" t="s">
        <v>30</v>
      </c>
      <c r="C4" t="s">
        <v>18</v>
      </c>
      <c r="D4" t="s">
        <v>32</v>
      </c>
    </row>
    <row r="5" spans="1:4" x14ac:dyDescent="0.2">
      <c r="A5">
        <f>100-A4</f>
        <v>95.466667000000001</v>
      </c>
      <c r="B5" t="s">
        <v>31</v>
      </c>
      <c r="C5" t="s">
        <v>18</v>
      </c>
      <c r="D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AEB5-6DE8-494F-96A2-2B7E2EE2E3E4}">
  <dimension ref="A1:D5"/>
  <sheetViews>
    <sheetView workbookViewId="0">
      <selection activeCell="C10" sqref="C10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19</v>
      </c>
    </row>
    <row r="2" spans="1:4" x14ac:dyDescent="0.2">
      <c r="A2" s="1">
        <v>0.72154660000000004</v>
      </c>
      <c r="B2" t="s">
        <v>31</v>
      </c>
      <c r="C2" t="s">
        <v>18</v>
      </c>
      <c r="D2" t="s">
        <v>33</v>
      </c>
    </row>
    <row r="3" spans="1:4" x14ac:dyDescent="0.2">
      <c r="A3">
        <f>1-A2</f>
        <v>0.27845339999999996</v>
      </c>
      <c r="B3" t="s">
        <v>30</v>
      </c>
      <c r="C3" t="s">
        <v>18</v>
      </c>
      <c r="D3" t="s">
        <v>33</v>
      </c>
    </row>
    <row r="4" spans="1:4" x14ac:dyDescent="0.2">
      <c r="A4">
        <v>0.54946269999999997</v>
      </c>
      <c r="B4" t="s">
        <v>31</v>
      </c>
      <c r="C4" t="s">
        <v>0</v>
      </c>
      <c r="D4" t="s">
        <v>33</v>
      </c>
    </row>
    <row r="5" spans="1:4" x14ac:dyDescent="0.2">
      <c r="A5">
        <f>1-A4</f>
        <v>0.45053730000000003</v>
      </c>
      <c r="B5" t="s">
        <v>30</v>
      </c>
      <c r="C5" t="s">
        <v>0</v>
      </c>
      <c r="D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DDDC-E6AE-DC4B-9E88-97E1D539AD7A}">
  <dimension ref="A1:D15"/>
  <sheetViews>
    <sheetView workbookViewId="0">
      <selection activeCell="C20" sqref="C20"/>
    </sheetView>
  </sheetViews>
  <sheetFormatPr baseColWidth="10" defaultRowHeight="16" x14ac:dyDescent="0.2"/>
  <cols>
    <col min="2" max="2" width="1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19</v>
      </c>
    </row>
    <row r="2" spans="1:4" x14ac:dyDescent="0.2">
      <c r="A2">
        <v>0.10947369999999999</v>
      </c>
      <c r="B2" t="s">
        <v>11</v>
      </c>
      <c r="C2" t="s">
        <v>0</v>
      </c>
      <c r="D2" t="s">
        <v>23</v>
      </c>
    </row>
    <row r="3" spans="1:4" x14ac:dyDescent="0.2">
      <c r="A3">
        <v>0.28000000000000003</v>
      </c>
      <c r="B3" t="s">
        <v>12</v>
      </c>
      <c r="C3" t="s">
        <v>0</v>
      </c>
      <c r="D3" t="s">
        <v>23</v>
      </c>
    </row>
    <row r="4" spans="1:4" x14ac:dyDescent="0.2">
      <c r="A4">
        <v>0.29578949999999998</v>
      </c>
      <c r="B4" t="s">
        <v>13</v>
      </c>
      <c r="C4" t="s">
        <v>0</v>
      </c>
      <c r="D4" t="s">
        <v>23</v>
      </c>
    </row>
    <row r="5" spans="1:4" x14ac:dyDescent="0.2">
      <c r="A5">
        <v>0.19421050000000001</v>
      </c>
      <c r="B5" t="s">
        <v>14</v>
      </c>
      <c r="C5" t="s">
        <v>0</v>
      </c>
      <c r="D5" t="s">
        <v>23</v>
      </c>
    </row>
    <row r="6" spans="1:4" x14ac:dyDescent="0.2">
      <c r="A6">
        <v>0.1228947</v>
      </c>
      <c r="B6" t="s">
        <v>15</v>
      </c>
      <c r="C6" t="s">
        <v>0</v>
      </c>
      <c r="D6" t="s">
        <v>23</v>
      </c>
    </row>
    <row r="7" spans="1:4" x14ac:dyDescent="0.2">
      <c r="A7" s="1">
        <v>0.13</v>
      </c>
      <c r="B7" t="s">
        <v>11</v>
      </c>
      <c r="C7" t="s">
        <v>18</v>
      </c>
      <c r="D7" t="s">
        <v>23</v>
      </c>
    </row>
    <row r="8" spans="1:4" x14ac:dyDescent="0.2">
      <c r="A8" s="1">
        <v>0.2863636</v>
      </c>
      <c r="B8" t="s">
        <v>12</v>
      </c>
      <c r="C8" t="s">
        <v>18</v>
      </c>
      <c r="D8" t="s">
        <v>23</v>
      </c>
    </row>
    <row r="9" spans="1:4" x14ac:dyDescent="0.2">
      <c r="A9" s="1">
        <v>0.30363639999999997</v>
      </c>
      <c r="B9" t="s">
        <v>13</v>
      </c>
      <c r="C9" t="s">
        <v>18</v>
      </c>
      <c r="D9" t="s">
        <v>23</v>
      </c>
    </row>
    <row r="10" spans="1:4" x14ac:dyDescent="0.2">
      <c r="A10" s="1">
        <v>0.1790909</v>
      </c>
      <c r="B10" t="s">
        <v>14</v>
      </c>
      <c r="C10" t="s">
        <v>18</v>
      </c>
      <c r="D10" t="s">
        <v>23</v>
      </c>
    </row>
    <row r="11" spans="1:4" x14ac:dyDescent="0.2">
      <c r="A11" s="1">
        <v>0.1</v>
      </c>
      <c r="B11" t="s">
        <v>15</v>
      </c>
      <c r="C11" t="s">
        <v>18</v>
      </c>
      <c r="D11" t="s">
        <v>23</v>
      </c>
    </row>
    <row r="12" spans="1:4" x14ac:dyDescent="0.2">
      <c r="A12" s="1"/>
    </row>
    <row r="13" spans="1:4" x14ac:dyDescent="0.2">
      <c r="A13" s="1"/>
    </row>
    <row r="15" spans="1:4" x14ac:dyDescent="0.2">
      <c r="A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EB9D-83C2-7B43-99E3-827EA8EB0589}">
  <dimension ref="A1:D20"/>
  <sheetViews>
    <sheetView workbookViewId="0">
      <selection activeCell="B13" sqref="B13"/>
    </sheetView>
  </sheetViews>
  <sheetFormatPr baseColWidth="10" defaultRowHeight="16" x14ac:dyDescent="0.2"/>
  <cols>
    <col min="2" max="2" width="1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19</v>
      </c>
    </row>
    <row r="2" spans="1:4" x14ac:dyDescent="0.2">
      <c r="A2">
        <v>0.12157895000000001</v>
      </c>
      <c r="B2" t="s">
        <v>6</v>
      </c>
      <c r="C2" t="s">
        <v>0</v>
      </c>
      <c r="D2" t="s">
        <v>22</v>
      </c>
    </row>
    <row r="3" spans="1:4" x14ac:dyDescent="0.2">
      <c r="A3">
        <v>0.74736840000000004</v>
      </c>
      <c r="B3" t="s">
        <v>7</v>
      </c>
      <c r="C3" t="s">
        <v>0</v>
      </c>
      <c r="D3" t="s">
        <v>22</v>
      </c>
    </row>
    <row r="4" spans="1:4" x14ac:dyDescent="0.2">
      <c r="A4">
        <v>4.6052629999999997E-2</v>
      </c>
      <c r="B4" t="s">
        <v>8</v>
      </c>
      <c r="C4" t="s">
        <v>0</v>
      </c>
      <c r="D4" t="s">
        <v>22</v>
      </c>
    </row>
    <row r="5" spans="1:4" x14ac:dyDescent="0.2">
      <c r="A5">
        <v>3.447368E-2</v>
      </c>
      <c r="B5" t="s">
        <v>9</v>
      </c>
      <c r="C5" t="s">
        <v>0</v>
      </c>
      <c r="D5" t="s">
        <v>22</v>
      </c>
    </row>
    <row r="6" spans="1:4" x14ac:dyDescent="0.2">
      <c r="A6">
        <v>1.1842109999999999E-2</v>
      </c>
      <c r="B6" t="s">
        <v>10</v>
      </c>
      <c r="C6" t="s">
        <v>0</v>
      </c>
      <c r="D6" t="s">
        <v>22</v>
      </c>
    </row>
    <row r="7" spans="1:4" x14ac:dyDescent="0.2">
      <c r="A7" s="1">
        <v>5.9090910000000003E-2</v>
      </c>
      <c r="B7" t="s">
        <v>6</v>
      </c>
      <c r="C7" t="s">
        <v>18</v>
      </c>
      <c r="D7" t="s">
        <v>22</v>
      </c>
    </row>
    <row r="8" spans="1:4" x14ac:dyDescent="0.2">
      <c r="A8" s="1">
        <v>0.82090909999999995</v>
      </c>
      <c r="B8" t="s">
        <v>7</v>
      </c>
      <c r="C8" t="s">
        <v>18</v>
      </c>
      <c r="D8" t="s">
        <v>22</v>
      </c>
    </row>
    <row r="9" spans="1:4" x14ac:dyDescent="0.2">
      <c r="A9" s="1">
        <v>3.3636369999999999E-2</v>
      </c>
      <c r="B9" t="s">
        <v>8</v>
      </c>
      <c r="C9" t="s">
        <v>18</v>
      </c>
      <c r="D9" t="s">
        <v>22</v>
      </c>
    </row>
    <row r="10" spans="1:4" x14ac:dyDescent="0.2">
      <c r="A10" s="1">
        <v>2.818182E-2</v>
      </c>
      <c r="B10" t="s">
        <v>9</v>
      </c>
      <c r="C10" t="s">
        <v>18</v>
      </c>
      <c r="D10" t="s">
        <v>22</v>
      </c>
    </row>
    <row r="11" spans="1:4" x14ac:dyDescent="0.2">
      <c r="A11" s="1">
        <v>0.03</v>
      </c>
      <c r="B11" t="s">
        <v>10</v>
      </c>
      <c r="C11" t="s">
        <v>18</v>
      </c>
      <c r="D11" t="s">
        <v>22</v>
      </c>
    </row>
    <row r="12" spans="1:4" x14ac:dyDescent="0.2">
      <c r="A12" s="1"/>
    </row>
    <row r="13" spans="1:4" x14ac:dyDescent="0.2">
      <c r="A13" s="1"/>
    </row>
    <row r="14" spans="1:4" x14ac:dyDescent="0.2">
      <c r="A14" s="1"/>
    </row>
    <row r="15" spans="1:4" x14ac:dyDescent="0.2">
      <c r="A15" s="1"/>
    </row>
    <row r="16" spans="1:4" x14ac:dyDescent="0.2">
      <c r="A16" s="1"/>
    </row>
    <row r="17" spans="1:1" x14ac:dyDescent="0.2">
      <c r="A17" s="1"/>
    </row>
    <row r="18" spans="1:1" x14ac:dyDescent="0.2">
      <c r="A18" s="1"/>
    </row>
    <row r="20" spans="1:1" x14ac:dyDescent="0.2">
      <c r="A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EF03-606B-1B4C-86E4-F586FC1A4C6A}">
  <dimension ref="A1:D5"/>
  <sheetViews>
    <sheetView workbookViewId="0">
      <selection activeCell="D6" sqref="D6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19</v>
      </c>
    </row>
    <row r="2" spans="1:4" x14ac:dyDescent="0.2">
      <c r="A2" s="1">
        <v>0.85909089999999999</v>
      </c>
      <c r="B2" t="s">
        <v>4</v>
      </c>
      <c r="C2" t="s">
        <v>18</v>
      </c>
      <c r="D2" t="s">
        <v>27</v>
      </c>
    </row>
    <row r="3" spans="1:4" x14ac:dyDescent="0.2">
      <c r="A3">
        <f>1-A2</f>
        <v>0.14090910000000001</v>
      </c>
      <c r="B3" t="s">
        <v>26</v>
      </c>
      <c r="C3" t="s">
        <v>18</v>
      </c>
      <c r="D3" t="s">
        <v>27</v>
      </c>
    </row>
    <row r="4" spans="1:4" x14ac:dyDescent="0.2">
      <c r="A4">
        <v>0.84052629999999995</v>
      </c>
      <c r="B4" t="s">
        <v>4</v>
      </c>
      <c r="C4" t="s">
        <v>0</v>
      </c>
      <c r="D4" t="s">
        <v>27</v>
      </c>
    </row>
    <row r="5" spans="1:4" x14ac:dyDescent="0.2">
      <c r="A5">
        <f>1-A4</f>
        <v>0.15947370000000005</v>
      </c>
      <c r="B5" t="s">
        <v>26</v>
      </c>
      <c r="C5" t="s">
        <v>0</v>
      </c>
      <c r="D5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D60D-209B-E64E-BE05-0B20EF6D8AD4}">
  <dimension ref="A1:D5"/>
  <sheetViews>
    <sheetView workbookViewId="0">
      <selection activeCell="I29" sqref="I29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19</v>
      </c>
    </row>
    <row r="2" spans="1:4" x14ac:dyDescent="0.2">
      <c r="A2">
        <v>0.10105263</v>
      </c>
      <c r="B2" t="s">
        <v>5</v>
      </c>
      <c r="C2" t="s">
        <v>0</v>
      </c>
      <c r="D2" t="s">
        <v>29</v>
      </c>
    </row>
    <row r="3" spans="1:4" x14ac:dyDescent="0.2">
      <c r="A3">
        <f>1-A2</f>
        <v>0.89894737000000002</v>
      </c>
      <c r="B3" t="s">
        <v>28</v>
      </c>
      <c r="C3" t="s">
        <v>0</v>
      </c>
      <c r="D3" t="s">
        <v>29</v>
      </c>
    </row>
    <row r="4" spans="1:4" x14ac:dyDescent="0.2">
      <c r="A4" s="1">
        <v>8.5454550000000004E-2</v>
      </c>
      <c r="B4" t="s">
        <v>5</v>
      </c>
      <c r="C4" t="s">
        <v>18</v>
      </c>
      <c r="D4" t="s">
        <v>29</v>
      </c>
    </row>
    <row r="5" spans="1:4" x14ac:dyDescent="0.2">
      <c r="A5">
        <f>1-A4</f>
        <v>0.91454544999999998</v>
      </c>
      <c r="B5" t="s">
        <v>28</v>
      </c>
      <c r="C5" t="s">
        <v>18</v>
      </c>
      <c r="D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unemployment</vt:lpstr>
      <vt:lpstr>refugeeemployment</vt:lpstr>
      <vt:lpstr>education</vt:lpstr>
      <vt:lpstr>race</vt:lpstr>
      <vt:lpstr>language</vt:lpstr>
      <vt:lpstr>birth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2022-11-10T18:06:03Z</dcterms:created>
  <dcterms:modified xsi:type="dcterms:W3CDTF">2022-11-10T19:09:14Z</dcterms:modified>
</cp:coreProperties>
</file>