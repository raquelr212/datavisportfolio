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raquelrosenbloom/Desktop/Desktop/Georgetown/Data Viz/"/>
    </mc:Choice>
  </mc:AlternateContent>
  <xr:revisionPtr revIDLastSave="0" documentId="13_ncr:1_{902A8AE4-67B6-E944-A9AC-F92162FB6C4F}" xr6:coauthVersionLast="47" xr6:coauthVersionMax="47" xr10:uidLastSave="{00000000-0000-0000-0000-000000000000}"/>
  <bookViews>
    <workbookView xWindow="340" yWindow="500" windowWidth="2010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J51" i="1"/>
  <c r="K51" i="1" s="1"/>
  <c r="J47" i="1"/>
  <c r="K47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8" i="1"/>
  <c r="K48" i="1" s="1"/>
  <c r="J49" i="1"/>
  <c r="K49" i="1" s="1"/>
  <c r="J50" i="1"/>
  <c r="K50" i="1" s="1"/>
  <c r="J2" i="1"/>
  <c r="K2" i="1" s="1"/>
</calcChain>
</file>

<file path=xl/sharedStrings.xml><?xml version="1.0" encoding="utf-8"?>
<sst xmlns="http://schemas.openxmlformats.org/spreadsheetml/2006/main" count="265" uniqueCount="165">
  <si>
    <t>Year</t>
  </si>
  <si>
    <t>State</t>
  </si>
  <si>
    <t>ELLs</t>
  </si>
  <si>
    <t>Teachers</t>
  </si>
  <si>
    <t>2018-2019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</si>
  <si>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</si>
  <si>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</si>
  <si>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</si>
  <si>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</si>
  <si>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</si>
  <si>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</si>
  <si>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</si>
  <si>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</si>
  <si>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</si>
  <si>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</si>
  <si>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</si>
  <si>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</si>
  <si>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</si>
  <si>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</si>
  <si>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</si>
  <si>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</si>
  <si>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</si>
  <si>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</si>
  <si>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</si>
  <si>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</si>
  <si>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</si>
  <si>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</si>
  <si>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</si>
  <si>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</si>
  <si>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</si>
  <si>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</si>
  <si>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</si>
  <si>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</si>
  <si>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</si>
  <si>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</si>
  <si>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</si>
  <si>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</si>
  <si>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</si>
  <si>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</si>
  <si>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</si>
  <si>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</si>
  <si>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</si>
  <si>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</si>
  <si>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</si>
  <si>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</si>
  <si>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</si>
  <si>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</si>
  <si>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</si>
  <si>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</si>
  <si>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</si>
  <si>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</si>
  <si>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WA</t>
  </si>
  <si>
    <t>WV</t>
  </si>
  <si>
    <t>WI</t>
  </si>
  <si>
    <t>WY</t>
  </si>
  <si>
    <t>Ratio</t>
  </si>
  <si>
    <t>Good</t>
  </si>
  <si>
    <t>G</t>
  </si>
  <si>
    <t>B</t>
  </si>
  <si>
    <t xml:space="preserve">  Alabama </t>
  </si>
  <si>
    <t xml:space="preserve">  Alaska </t>
  </si>
  <si>
    <t xml:space="preserve">  Arizona </t>
  </si>
  <si>
    <t xml:space="preserve">  Arkansas </t>
  </si>
  <si>
    <t xml:space="preserve">  California </t>
  </si>
  <si>
    <t xml:space="preserve">  Colorado </t>
  </si>
  <si>
    <t xml:space="preserve">  Connecticut </t>
  </si>
  <si>
    <t xml:space="preserve">  Delaware </t>
  </si>
  <si>
    <t xml:space="preserve">  District of Columbia </t>
  </si>
  <si>
    <t xml:space="preserve">  Florida </t>
  </si>
  <si>
    <t xml:space="preserve">  Georgia </t>
  </si>
  <si>
    <t xml:space="preserve">  Hawaii </t>
  </si>
  <si>
    <t xml:space="preserve">  Idaho </t>
  </si>
  <si>
    <t xml:space="preserve">  Illinois </t>
  </si>
  <si>
    <t xml:space="preserve">  Indiana </t>
  </si>
  <si>
    <t xml:space="preserve">  Iowa </t>
  </si>
  <si>
    <t xml:space="preserve">  Kansas </t>
  </si>
  <si>
    <t xml:space="preserve">  Kentucky </t>
  </si>
  <si>
    <t xml:space="preserve">  Louisiana </t>
  </si>
  <si>
    <t xml:space="preserve">  Maine </t>
  </si>
  <si>
    <t xml:space="preserve">  Maryland </t>
  </si>
  <si>
    <t xml:space="preserve">  Massachusetts </t>
  </si>
  <si>
    <t xml:space="preserve">  Michigan </t>
  </si>
  <si>
    <t xml:space="preserve">  Minnesota </t>
  </si>
  <si>
    <t xml:space="preserve">  Mississippi </t>
  </si>
  <si>
    <t xml:space="preserve">  Missouri </t>
  </si>
  <si>
    <t xml:space="preserve">  Montana </t>
  </si>
  <si>
    <t xml:space="preserve">  Nebraska </t>
  </si>
  <si>
    <t xml:space="preserve">  Nevada </t>
  </si>
  <si>
    <t xml:space="preserve">  New Hampshire </t>
  </si>
  <si>
    <t xml:space="preserve">  New Jersey </t>
  </si>
  <si>
    <t xml:space="preserve">  New Mexico </t>
  </si>
  <si>
    <t xml:space="preserve">  New York </t>
  </si>
  <si>
    <t xml:space="preserve">  North Carolina </t>
  </si>
  <si>
    <t xml:space="preserve">  North Dakota </t>
  </si>
  <si>
    <t xml:space="preserve">  Ohio </t>
  </si>
  <si>
    <t xml:space="preserve">  Oklahoma </t>
  </si>
  <si>
    <t xml:space="preserve">  Oregon </t>
  </si>
  <si>
    <t xml:space="preserve">  Pennsylvania </t>
  </si>
  <si>
    <t xml:space="preserve">  Rhode Island </t>
  </si>
  <si>
    <t xml:space="preserve">  South Carolina </t>
  </si>
  <si>
    <t xml:space="preserve">  South Dakota </t>
  </si>
  <si>
    <t xml:space="preserve">  Tennessee </t>
  </si>
  <si>
    <t xml:space="preserve">  Texas </t>
  </si>
  <si>
    <t xml:space="preserve">  Utah </t>
  </si>
  <si>
    <t xml:space="preserve">  Virginia </t>
  </si>
  <si>
    <t xml:space="preserve">  Washington </t>
  </si>
  <si>
    <t xml:space="preserve">  West Virginia </t>
  </si>
  <si>
    <t xml:space="preserve">  Wisconsin </t>
  </si>
  <si>
    <t xml:space="preserve">  Wyoming </t>
  </si>
  <si>
    <t>Total Enrollment</t>
  </si>
  <si>
    <t>PercentELL</t>
  </si>
  <si>
    <t>Name</t>
  </si>
  <si>
    <t xml:space="preserve">Alabama </t>
  </si>
  <si>
    <t xml:space="preserve">Alaska </t>
  </si>
  <si>
    <t xml:space="preserve">Arizona </t>
  </si>
  <si>
    <t xml:space="preserve">Arkansas </t>
  </si>
  <si>
    <t xml:space="preserve">California </t>
  </si>
  <si>
    <t xml:space="preserve">Colorado </t>
  </si>
  <si>
    <t xml:space="preserve">Connecticut </t>
  </si>
  <si>
    <t xml:space="preserve">Delaware </t>
  </si>
  <si>
    <t xml:space="preserve">District of Columbia </t>
  </si>
  <si>
    <t xml:space="preserve">Florida </t>
  </si>
  <si>
    <t xml:space="preserve">Georgia </t>
  </si>
  <si>
    <t xml:space="preserve">Hawaii </t>
  </si>
  <si>
    <t xml:space="preserve">Idaho </t>
  </si>
  <si>
    <t xml:space="preserve">Illinois </t>
  </si>
  <si>
    <t xml:space="preserve">Indiana </t>
  </si>
  <si>
    <t xml:space="preserve">Iowa </t>
  </si>
  <si>
    <t xml:space="preserve">Kansas </t>
  </si>
  <si>
    <t xml:space="preserve">Kentucky </t>
  </si>
  <si>
    <t xml:space="preserve">Louisiana </t>
  </si>
  <si>
    <t xml:space="preserve">Maine </t>
  </si>
  <si>
    <t xml:space="preserve">Maryland </t>
  </si>
  <si>
    <t xml:space="preserve">Massachusetts </t>
  </si>
  <si>
    <t xml:space="preserve">Michigan </t>
  </si>
  <si>
    <t xml:space="preserve">Minnesota </t>
  </si>
  <si>
    <t xml:space="preserve">Mississippi </t>
  </si>
  <si>
    <t xml:space="preserve">Missouri </t>
  </si>
  <si>
    <t xml:space="preserve">Montana </t>
  </si>
  <si>
    <t xml:space="preserve">Nebraska </t>
  </si>
  <si>
    <t xml:space="preserve">Nevada </t>
  </si>
  <si>
    <t xml:space="preserve">New Hampshire </t>
  </si>
  <si>
    <t xml:space="preserve">New Jersey </t>
  </si>
  <si>
    <t xml:space="preserve">New Mexico </t>
  </si>
  <si>
    <t xml:space="preserve">New York </t>
  </si>
  <si>
    <t xml:space="preserve">North Carolina </t>
  </si>
  <si>
    <t xml:space="preserve">North Dakota </t>
  </si>
  <si>
    <t xml:space="preserve">Ohio </t>
  </si>
  <si>
    <t xml:space="preserve">Oklahoma </t>
  </si>
  <si>
    <t xml:space="preserve">Oregon </t>
  </si>
  <si>
    <t xml:space="preserve">Pennsylvania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</si>
  <si>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</si>
  <si>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</si>
  <si>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</si>
  <si>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</si>
  <si>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</si>
  <si>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</si>
  <si>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Virginia </t>
  </si>
  <si>
    <t xml:space="preserve">Washington </t>
  </si>
  <si>
    <t>West Virginia</t>
  </si>
  <si>
    <t xml:space="preserve">Wisconsin </t>
  </si>
  <si>
    <t xml:space="preserve">Wyoming </t>
  </si>
  <si>
    <t xml:space="preserve"> </t>
  </si>
  <si>
    <t>Totalteachers</t>
  </si>
  <si>
    <t>PercentTeachers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</si>
</sst>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8"/>
      <color rgb="FF000000"/>
      <name val="&quot;Helvetica Neue&quot;"/>
    </font>
    <font>
      <sz val="8"/>
      <color rgb="FF000000"/>
      <name val="&quot;Helvetica Neue&quot;"/>
    </font>
    <font>
      <sz val="10"/>
      <color rgb="FF000000"/>
      <name val="Arial"/>
      <family val="2"/>
      <scheme val="minor"/>
    </font>
    <font>
      <b/>
      <sz val="10"/>
      <name val="Courier New"/>
      <family val="3"/>
    </font>
    <font>
      <sz val="1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 applyFont="1" applyAlignment="1"/>
    <xf numFmtId="0" fontId="1" fillId="2" borderId="1" xfId="0" applyFont="1" applyFill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4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quotePrefix="1" applyFont="1" applyBorder="1" applyAlignment="1">
      <alignment horizontal="left" vertical="distributed" wrapText="1"/>
    </xf>
    <xf numFmtId="0" fontId="5" fillId="0" borderId="0" xfId="0" applyFont="1" applyAlignment="1">
      <alignment horizontal="left" vertical="distributed" wrapText="1"/>
    </xf>
    <xf numFmtId="0" fontId="5" fillId="0" borderId="0" xfId="0" applyFont="1"/>
    <xf numFmtId="0" fontId="5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10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3" fillId="0" borderId="1" xfId="0" applyFont="1" applyBorder="1" applyAlignment="1"/>
    <xf numFmtId="0" fontId="3" fillId="0" borderId="1" xfId="0" applyFont="1" applyFill="1" applyBorder="1" applyAlignment="1"/>
    <xf numFmtId="3" fontId="2" fillId="0" borderId="1" xfId="0" applyNumberFormat="1" applyFont="1" applyFill="1" applyBorder="1" applyAlignment="1">
      <alignment vertical="top"/>
    </xf>
    <xf numFmtId="2" fontId="5" fillId="0" borderId="1" xfId="1" applyNumberFormat="1" applyFont="1" applyBorder="1" applyAlignment="1">
      <alignment vertical="center"/>
    </xf>
    <xf numFmtId="0" fontId="5" fillId="0" borderId="8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5" fillId="0" borderId="3" xfId="0" applyFont="1" applyBorder="1" applyAlignment="1">
      <alignment horizontal="left" vertical="center"/>
    </xf>
    <xf numFmtId="0" fontId="5" fillId="0" borderId="7" xfId="0" quotePrefix="1" applyFont="1" applyBorder="1" applyAlignment="1">
      <alignment horizontal="left" vertical="distributed"/>
    </xf>
    <xf numFmtId="0" fontId="5" fillId="0" borderId="0" xfId="0" quotePrefix="1" applyFont="1" applyAlignment="1">
      <alignment horizontal="left" vertical="distributed"/>
    </xf>
    <xf numFmtId="0" fontId="5" fillId="0" borderId="0" xfId="0" applyFont="1" applyAlignment="1">
      <alignment horizontal="left" vertical="distributed"/>
    </xf>
    <xf numFmtId="0" fontId="5" fillId="0" borderId="12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5" fillId="0" borderId="8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3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horizontal="right"/>
    </xf>
    <xf numFmtId="0" fontId="5" fillId="0" borderId="10" xfId="0" quotePrefix="1" applyFont="1" applyBorder="1" applyAlignment="1">
      <alignment horizontal="right" vertical="center"/>
    </xf>
    <xf numFmtId="3" fontId="5" fillId="0" borderId="10" xfId="0" applyNumberFormat="1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3" fontId="5" fillId="0" borderId="12" xfId="0" applyNumberFormat="1" applyFont="1" applyBorder="1" applyAlignment="1">
      <alignment horizontal="right" vertical="center"/>
    </xf>
    <xf numFmtId="3" fontId="5" fillId="0" borderId="13" xfId="0" applyNumberFormat="1" applyFont="1" applyBorder="1" applyAlignment="1">
      <alignment horizontal="right" vertical="center"/>
    </xf>
    <xf numFmtId="3" fontId="5" fillId="0" borderId="13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72"/>
  <sheetViews>
    <sheetView tabSelected="1" zoomScale="112" zoomScaleNormal="112" workbookViewId="0">
      <selection activeCell="I51" sqref="I51"/>
    </sheetView>
  </sheetViews>
  <sheetFormatPr baseColWidth="10" defaultColWidth="12.6640625" defaultRowHeight="15.75" customHeight="1"/>
  <cols>
    <col min="3" max="3" width="23.5" style="10" customWidth="1"/>
    <col min="13" max="13" width="11.1640625" style="10" customWidth="1"/>
    <col min="17" max="17" width="24" style="10" customWidth="1"/>
  </cols>
  <sheetData>
    <row r="1" spans="1:19" ht="15.75" customHeight="1">
      <c r="A1" s="1" t="s">
        <v>0</v>
      </c>
      <c r="B1" s="1" t="s">
        <v>1</v>
      </c>
      <c r="C1" s="1" t="s">
        <v>111</v>
      </c>
      <c r="D1" s="1" t="s">
        <v>2</v>
      </c>
      <c r="E1" s="3" t="s">
        <v>109</v>
      </c>
      <c r="F1" s="1" t="s">
        <v>110</v>
      </c>
      <c r="G1" s="1" t="s">
        <v>3</v>
      </c>
      <c r="H1" s="1" t="s">
        <v>163</v>
      </c>
      <c r="I1" s="1" t="s">
        <v>164</v>
      </c>
      <c r="J1" s="1" t="s">
        <v>55</v>
      </c>
      <c r="K1" s="1" t="s">
        <v>56</v>
      </c>
      <c r="L1" s="1" t="s">
        <v>17</v>
      </c>
      <c r="M1"/>
      <c r="N1" s="11"/>
      <c r="Q1" s="4"/>
    </row>
    <row r="2" spans="1:19" ht="15.75" customHeight="1">
      <c r="A2" s="2" t="s">
        <v>4</v>
      </c>
      <c r="B2" s="2" t="s">
        <v>5</v>
      </c>
      <c r="C2" s="2" t="s">
        <v>59</v>
      </c>
      <c r="D2" s="2">
        <v>27529</v>
      </c>
      <c r="E2" s="2">
        <v>737200</v>
      </c>
      <c r="F2" s="19">
        <f>D2/E2*100</f>
        <v>3.7342647856755291</v>
      </c>
      <c r="G2" s="2">
        <v>18446</v>
      </c>
      <c r="H2" s="46">
        <v>42113.64</v>
      </c>
      <c r="I2" s="19">
        <f>G2/H2*100</f>
        <v>43.800535883385997</v>
      </c>
      <c r="J2" s="2">
        <f>D2/G2</f>
        <v>1.4924102786511981</v>
      </c>
      <c r="K2" s="2">
        <f>IF(J2&lt;18, 1, 0)</f>
        <v>1</v>
      </c>
      <c r="L2" s="16" t="s">
        <v>57</v>
      </c>
      <c r="M2"/>
      <c r="N2" s="11"/>
      <c r="Q2" s="20"/>
    </row>
    <row r="3" spans="1:19" ht="15.75" customHeight="1">
      <c r="A3" s="2" t="s">
        <v>4</v>
      </c>
      <c r="B3" s="2" t="s">
        <v>6</v>
      </c>
      <c r="C3" s="2" t="s">
        <v>60</v>
      </c>
      <c r="D3" s="2">
        <v>14600</v>
      </c>
      <c r="E3" s="2">
        <v>133200</v>
      </c>
      <c r="F3" s="19">
        <f t="shared" ref="F3:F51" si="0">D3/E3*100</f>
        <v>10.960960960960961</v>
      </c>
      <c r="G3" s="2">
        <v>46</v>
      </c>
      <c r="H3" s="46">
        <v>7656.78</v>
      </c>
      <c r="I3" s="19">
        <f t="shared" ref="I3:I51" si="1">G3/H3*100</f>
        <v>0.60077473820587768</v>
      </c>
      <c r="J3" s="2">
        <f>D3/G3</f>
        <v>317.39130434782606</v>
      </c>
      <c r="K3" s="2">
        <f t="shared" ref="K3:K51" si="2">IF(J3&lt;18, 1, 0)</f>
        <v>0</v>
      </c>
      <c r="L3" s="16" t="s">
        <v>58</v>
      </c>
      <c r="M3"/>
      <c r="N3" s="11"/>
      <c r="Q3" s="21"/>
      <c r="R3" s="30"/>
      <c r="S3" s="31"/>
    </row>
    <row r="4" spans="1:19" ht="15.75" customHeight="1">
      <c r="A4" s="2" t="s">
        <v>4</v>
      </c>
      <c r="B4" s="2" t="s">
        <v>7</v>
      </c>
      <c r="C4" s="2" t="s">
        <v>61</v>
      </c>
      <c r="D4" s="2">
        <v>60043</v>
      </c>
      <c r="E4" s="2">
        <v>1111000</v>
      </c>
      <c r="F4" s="19">
        <f t="shared" si="0"/>
        <v>5.4044104410441047</v>
      </c>
      <c r="G4" s="2">
        <v>14850</v>
      </c>
      <c r="H4" s="46">
        <v>48510.409999999996</v>
      </c>
      <c r="I4" s="19">
        <f t="shared" si="1"/>
        <v>30.611986169566492</v>
      </c>
      <c r="J4" s="2">
        <f>D4/G4</f>
        <v>4.0432996632996634</v>
      </c>
      <c r="K4" s="2">
        <f t="shared" si="2"/>
        <v>1</v>
      </c>
      <c r="L4" s="16" t="s">
        <v>57</v>
      </c>
      <c r="M4"/>
      <c r="N4" s="11"/>
      <c r="Q4" s="22"/>
      <c r="R4" s="32"/>
      <c r="S4" s="33"/>
    </row>
    <row r="5" spans="1:19" ht="15.75" customHeight="1">
      <c r="A5" s="2" t="s">
        <v>4</v>
      </c>
      <c r="B5" s="2" t="s">
        <v>8</v>
      </c>
      <c r="C5" s="2" t="s">
        <v>62</v>
      </c>
      <c r="D5" s="2">
        <v>33234</v>
      </c>
      <c r="E5" s="2">
        <v>496100</v>
      </c>
      <c r="F5" s="19">
        <f t="shared" si="0"/>
        <v>6.6990526103608143</v>
      </c>
      <c r="G5" s="2">
        <v>1786</v>
      </c>
      <c r="H5" s="46">
        <v>38019.160000000003</v>
      </c>
      <c r="I5" s="19">
        <f t="shared" si="1"/>
        <v>4.6976314047969492</v>
      </c>
      <c r="J5" s="2">
        <f>D5/G5</f>
        <v>18.608062709966404</v>
      </c>
      <c r="K5" s="2">
        <f t="shared" si="2"/>
        <v>0</v>
      </c>
      <c r="L5" s="17" t="s">
        <v>58</v>
      </c>
      <c r="M5"/>
      <c r="N5" s="11"/>
      <c r="Q5" s="23"/>
      <c r="R5" s="42"/>
      <c r="S5" s="34"/>
    </row>
    <row r="6" spans="1:19" ht="15.75" customHeight="1">
      <c r="A6" s="2" t="s">
        <v>4</v>
      </c>
      <c r="B6" s="2" t="s">
        <v>9</v>
      </c>
      <c r="C6" s="2" t="s">
        <v>63</v>
      </c>
      <c r="D6" s="2">
        <v>1185606</v>
      </c>
      <c r="E6" s="2">
        <v>6285300</v>
      </c>
      <c r="F6" s="19">
        <f t="shared" si="0"/>
        <v>18.863156889885925</v>
      </c>
      <c r="G6" s="2">
        <v>199959</v>
      </c>
      <c r="H6" s="46">
        <v>271805.2</v>
      </c>
      <c r="I6" s="19">
        <f t="shared" si="1"/>
        <v>73.567025207759087</v>
      </c>
      <c r="J6" s="2">
        <f>D6/G6</f>
        <v>5.9292454953265423</v>
      </c>
      <c r="K6" s="2">
        <f t="shared" si="2"/>
        <v>1</v>
      </c>
      <c r="L6" s="17" t="s">
        <v>57</v>
      </c>
      <c r="M6"/>
      <c r="N6" s="13"/>
      <c r="Q6" s="24" t="s">
        <v>112</v>
      </c>
      <c r="R6" s="43">
        <v>42113.64</v>
      </c>
      <c r="S6" s="35"/>
    </row>
    <row r="7" spans="1:19" ht="15.75" customHeight="1">
      <c r="A7" s="2" t="s">
        <v>4</v>
      </c>
      <c r="B7" s="2" t="s">
        <v>10</v>
      </c>
      <c r="C7" s="2" t="s">
        <v>64</v>
      </c>
      <c r="D7" s="2">
        <v>97255</v>
      </c>
      <c r="E7" s="2">
        <v>912600</v>
      </c>
      <c r="F7" s="19">
        <f t="shared" si="0"/>
        <v>10.656914310760465</v>
      </c>
      <c r="G7" s="2">
        <v>3471</v>
      </c>
      <c r="H7" s="47">
        <v>53146.65</v>
      </c>
      <c r="I7" s="19">
        <f t="shared" si="1"/>
        <v>6.5309854901484847</v>
      </c>
      <c r="J7" s="2">
        <f>D7/G7</f>
        <v>28.019302794583695</v>
      </c>
      <c r="K7" s="2">
        <f t="shared" si="2"/>
        <v>0</v>
      </c>
      <c r="L7" s="17" t="s">
        <v>58</v>
      </c>
      <c r="M7"/>
      <c r="N7" s="11"/>
      <c r="Q7" s="24" t="s">
        <v>113</v>
      </c>
      <c r="R7" s="44">
        <v>7656.78</v>
      </c>
      <c r="S7" s="36"/>
    </row>
    <row r="8" spans="1:19" ht="15.75" customHeight="1">
      <c r="A8" s="2" t="s">
        <v>4</v>
      </c>
      <c r="B8" s="2" t="s">
        <v>11</v>
      </c>
      <c r="C8" s="2" t="s">
        <v>65</v>
      </c>
      <c r="D8" s="2">
        <v>40522</v>
      </c>
      <c r="E8" s="2">
        <v>524300</v>
      </c>
      <c r="F8" s="19">
        <f t="shared" si="0"/>
        <v>7.7287812321190152</v>
      </c>
      <c r="G8" s="2">
        <v>813</v>
      </c>
      <c r="H8" s="47">
        <v>42827.56</v>
      </c>
      <c r="I8" s="19">
        <f t="shared" si="1"/>
        <v>1.8983103403509332</v>
      </c>
      <c r="J8" s="2">
        <f>D8/G8</f>
        <v>49.842558425584258</v>
      </c>
      <c r="K8" s="2">
        <f t="shared" si="2"/>
        <v>0</v>
      </c>
      <c r="L8" s="17" t="s">
        <v>58</v>
      </c>
      <c r="M8"/>
      <c r="N8" s="11"/>
      <c r="Q8" s="24" t="s">
        <v>114</v>
      </c>
      <c r="R8" s="44">
        <v>48510.409999999996</v>
      </c>
      <c r="S8" s="36"/>
    </row>
    <row r="9" spans="1:19" ht="15.75" customHeight="1">
      <c r="A9" s="2" t="s">
        <v>4</v>
      </c>
      <c r="B9" s="2" t="s">
        <v>12</v>
      </c>
      <c r="C9" s="2" t="s">
        <v>66</v>
      </c>
      <c r="D9" s="2">
        <v>13896</v>
      </c>
      <c r="E9" s="2">
        <v>136900</v>
      </c>
      <c r="F9" s="19">
        <f t="shared" si="0"/>
        <v>10.150474799123447</v>
      </c>
      <c r="G9" s="2">
        <v>122</v>
      </c>
      <c r="H9" s="47">
        <v>9623.64</v>
      </c>
      <c r="I9" s="19">
        <f t="shared" si="1"/>
        <v>1.2677115935342553</v>
      </c>
      <c r="J9" s="2">
        <f>D9/G9</f>
        <v>113.90163934426229</v>
      </c>
      <c r="K9" s="2">
        <f t="shared" si="2"/>
        <v>0</v>
      </c>
      <c r="L9" s="17" t="s">
        <v>58</v>
      </c>
      <c r="M9"/>
      <c r="N9" s="11"/>
      <c r="Q9" s="24" t="s">
        <v>115</v>
      </c>
      <c r="R9" s="44">
        <v>38019.160000000003</v>
      </c>
      <c r="S9" s="36" t="s">
        <v>162</v>
      </c>
    </row>
    <row r="10" spans="1:19" ht="15.75" customHeight="1">
      <c r="A10" s="2" t="s">
        <v>4</v>
      </c>
      <c r="B10" s="2" t="s">
        <v>13</v>
      </c>
      <c r="C10" s="2" t="s">
        <v>67</v>
      </c>
      <c r="D10" s="2">
        <v>7962</v>
      </c>
      <c r="E10" s="2">
        <v>87200</v>
      </c>
      <c r="F10" s="19">
        <f t="shared" si="0"/>
        <v>9.1307339449541285</v>
      </c>
      <c r="G10" s="2">
        <v>145</v>
      </c>
      <c r="H10" s="47">
        <v>7312.33</v>
      </c>
      <c r="I10" s="19">
        <f t="shared" si="1"/>
        <v>1.9829520823048195</v>
      </c>
      <c r="J10" s="2">
        <f>D10/G10</f>
        <v>54.910344827586208</v>
      </c>
      <c r="K10" s="2">
        <f t="shared" si="2"/>
        <v>0</v>
      </c>
      <c r="L10" s="17" t="s">
        <v>58</v>
      </c>
      <c r="M10"/>
      <c r="N10" s="11"/>
      <c r="Q10" s="24" t="s">
        <v>116</v>
      </c>
      <c r="R10" s="44">
        <v>271805.2</v>
      </c>
      <c r="S10" s="37"/>
    </row>
    <row r="11" spans="1:19" ht="15.75" customHeight="1">
      <c r="A11" s="2" t="s">
        <v>4</v>
      </c>
      <c r="B11" s="2" t="s">
        <v>14</v>
      </c>
      <c r="C11" s="2" t="s">
        <v>68</v>
      </c>
      <c r="D11" s="2">
        <v>281294</v>
      </c>
      <c r="E11" s="2">
        <v>2849400</v>
      </c>
      <c r="F11" s="19">
        <f t="shared" si="0"/>
        <v>9.872043237172738</v>
      </c>
      <c r="G11" s="2">
        <v>60616</v>
      </c>
      <c r="H11" s="47">
        <v>164398.73000000001</v>
      </c>
      <c r="I11" s="19">
        <f t="shared" si="1"/>
        <v>36.871331061985693</v>
      </c>
      <c r="J11" s="2">
        <f>D11/G11</f>
        <v>4.6405899432493074</v>
      </c>
      <c r="K11" s="2">
        <f t="shared" si="2"/>
        <v>1</v>
      </c>
      <c r="L11" s="17" t="s">
        <v>57</v>
      </c>
      <c r="M11"/>
      <c r="N11" s="13"/>
      <c r="Q11" s="25" t="s">
        <v>117</v>
      </c>
      <c r="R11" s="45">
        <v>53146.65</v>
      </c>
      <c r="S11" s="38"/>
    </row>
    <row r="12" spans="1:19" ht="15.75" customHeight="1">
      <c r="A12" s="2" t="s">
        <v>4</v>
      </c>
      <c r="B12" s="2" t="s">
        <v>15</v>
      </c>
      <c r="C12" s="2" t="s">
        <v>69</v>
      </c>
      <c r="D12" s="2">
        <v>116944</v>
      </c>
      <c r="E12" s="2">
        <v>1767200</v>
      </c>
      <c r="F12" s="19">
        <f t="shared" si="0"/>
        <v>6.6174739701222274</v>
      </c>
      <c r="G12" s="2">
        <v>2638</v>
      </c>
      <c r="H12" s="47">
        <v>117159.3</v>
      </c>
      <c r="I12" s="19">
        <f t="shared" si="1"/>
        <v>2.2516351668198769</v>
      </c>
      <c r="J12" s="2">
        <f>D12/G12</f>
        <v>44.330553449583014</v>
      </c>
      <c r="K12" s="2">
        <f t="shared" si="2"/>
        <v>0</v>
      </c>
      <c r="L12" s="17" t="s">
        <v>58</v>
      </c>
      <c r="M12"/>
      <c r="N12" s="11"/>
      <c r="Q12" s="24" t="s">
        <v>118</v>
      </c>
      <c r="R12" s="45">
        <v>42827.56</v>
      </c>
      <c r="S12" s="36"/>
    </row>
    <row r="13" spans="1:19" ht="15.75" customHeight="1">
      <c r="A13" s="2" t="s">
        <v>4</v>
      </c>
      <c r="B13" s="2" t="s">
        <v>16</v>
      </c>
      <c r="C13" s="2" t="s">
        <v>70</v>
      </c>
      <c r="D13" s="2">
        <v>16579</v>
      </c>
      <c r="E13" s="2">
        <v>180600</v>
      </c>
      <c r="F13" s="19">
        <f t="shared" si="0"/>
        <v>9.1799557032115171</v>
      </c>
      <c r="G13" s="2">
        <v>74</v>
      </c>
      <c r="H13" s="47">
        <v>12132.1</v>
      </c>
      <c r="I13" s="19">
        <f t="shared" si="1"/>
        <v>0.60995211051672826</v>
      </c>
      <c r="J13" s="2">
        <f>D13/G13</f>
        <v>224.04054054054055</v>
      </c>
      <c r="K13" s="2">
        <f t="shared" si="2"/>
        <v>0</v>
      </c>
      <c r="L13" s="17" t="s">
        <v>58</v>
      </c>
      <c r="M13"/>
      <c r="N13" s="11"/>
      <c r="Q13" s="24" t="s">
        <v>119</v>
      </c>
      <c r="R13" s="45">
        <v>9623.64</v>
      </c>
      <c r="S13" s="36"/>
    </row>
    <row r="14" spans="1:19" ht="15.75" customHeight="1">
      <c r="A14" s="2" t="s">
        <v>4</v>
      </c>
      <c r="B14" s="2" t="s">
        <v>17</v>
      </c>
      <c r="C14" s="2" t="s">
        <v>71</v>
      </c>
      <c r="D14" s="2">
        <v>19053</v>
      </c>
      <c r="E14" s="2">
        <v>303500</v>
      </c>
      <c r="F14" s="19">
        <f t="shared" si="0"/>
        <v>6.2777594728171335</v>
      </c>
      <c r="G14" s="2">
        <v>18</v>
      </c>
      <c r="H14" s="47">
        <v>16745.310000000005</v>
      </c>
      <c r="I14" s="19">
        <f t="shared" si="1"/>
        <v>0.10749278454683726</v>
      </c>
      <c r="J14" s="2">
        <f>D14/G14</f>
        <v>1058.5</v>
      </c>
      <c r="K14" s="2">
        <f t="shared" si="2"/>
        <v>0</v>
      </c>
      <c r="L14" s="17" t="s">
        <v>58</v>
      </c>
      <c r="M14"/>
      <c r="N14" s="11"/>
      <c r="Q14" s="24" t="s">
        <v>120</v>
      </c>
      <c r="R14" s="45">
        <v>7312.33</v>
      </c>
      <c r="S14" s="36"/>
    </row>
    <row r="15" spans="1:19" ht="15.75" customHeight="1">
      <c r="A15" s="2" t="s">
        <v>4</v>
      </c>
      <c r="B15" s="2" t="s">
        <v>18</v>
      </c>
      <c r="C15" s="2" t="s">
        <v>72</v>
      </c>
      <c r="D15" s="2">
        <v>203135</v>
      </c>
      <c r="E15" s="2">
        <v>2000200</v>
      </c>
      <c r="F15" s="19">
        <f t="shared" si="0"/>
        <v>10.155734426557345</v>
      </c>
      <c r="G15" s="2">
        <v>13701</v>
      </c>
      <c r="H15" s="47">
        <v>132423.07</v>
      </c>
      <c r="I15" s="19">
        <f t="shared" si="1"/>
        <v>10.34638450837909</v>
      </c>
      <c r="J15" s="2">
        <f>D15/G15</f>
        <v>14.826290051821035</v>
      </c>
      <c r="K15" s="2">
        <f t="shared" si="2"/>
        <v>1</v>
      </c>
      <c r="L15" s="17" t="s">
        <v>57</v>
      </c>
      <c r="M15"/>
      <c r="N15" s="11"/>
      <c r="Q15" s="24" t="s">
        <v>121</v>
      </c>
      <c r="R15" s="45">
        <v>164398.73000000001</v>
      </c>
      <c r="S15" s="36"/>
    </row>
    <row r="16" spans="1:19" ht="15.75" customHeight="1">
      <c r="A16" s="2" t="s">
        <v>4</v>
      </c>
      <c r="B16" s="2" t="s">
        <v>19</v>
      </c>
      <c r="C16" s="2" t="s">
        <v>73</v>
      </c>
      <c r="D16" s="2">
        <v>59927</v>
      </c>
      <c r="E16" s="2">
        <v>1053400</v>
      </c>
      <c r="F16" s="19">
        <f t="shared" si="0"/>
        <v>5.688912094171255</v>
      </c>
      <c r="G16" s="2">
        <v>4064</v>
      </c>
      <c r="H16" s="47">
        <v>61154.81</v>
      </c>
      <c r="I16" s="19">
        <f t="shared" si="1"/>
        <v>6.6454298525332671</v>
      </c>
      <c r="J16" s="2">
        <f>D16/G16</f>
        <v>14.745816929133857</v>
      </c>
      <c r="K16" s="2">
        <f t="shared" si="2"/>
        <v>1</v>
      </c>
      <c r="L16" s="17" t="s">
        <v>57</v>
      </c>
      <c r="M16"/>
      <c r="N16" s="13"/>
      <c r="Q16" s="25" t="s">
        <v>122</v>
      </c>
      <c r="R16" s="45">
        <v>117159.3</v>
      </c>
      <c r="S16" s="38"/>
    </row>
    <row r="17" spans="1:19" ht="15.75" customHeight="1">
      <c r="A17" s="2" t="s">
        <v>4</v>
      </c>
      <c r="B17" s="2" t="s">
        <v>20</v>
      </c>
      <c r="C17" s="2" t="s">
        <v>74</v>
      </c>
      <c r="D17" s="2">
        <v>30332</v>
      </c>
      <c r="E17" s="2">
        <v>511700</v>
      </c>
      <c r="F17" s="19">
        <f t="shared" si="0"/>
        <v>5.9276920070353718</v>
      </c>
      <c r="G17" s="2">
        <v>740</v>
      </c>
      <c r="H17" s="47">
        <v>35618.459999999992</v>
      </c>
      <c r="I17" s="19">
        <f t="shared" si="1"/>
        <v>2.077574381374153</v>
      </c>
      <c r="J17" s="2">
        <f>D17/G17</f>
        <v>40.98918918918919</v>
      </c>
      <c r="K17" s="2">
        <f t="shared" si="2"/>
        <v>0</v>
      </c>
      <c r="L17" s="17" t="s">
        <v>58</v>
      </c>
      <c r="M17"/>
      <c r="N17" s="11"/>
      <c r="Q17" s="24" t="s">
        <v>123</v>
      </c>
      <c r="R17" s="45">
        <v>12132.1</v>
      </c>
      <c r="S17" s="36"/>
    </row>
    <row r="18" spans="1:19" ht="15.75" customHeight="1">
      <c r="A18" s="2" t="s">
        <v>4</v>
      </c>
      <c r="B18" s="2" t="s">
        <v>21</v>
      </c>
      <c r="C18" s="2" t="s">
        <v>75</v>
      </c>
      <c r="D18" s="2">
        <v>41300</v>
      </c>
      <c r="E18" s="2">
        <v>495100</v>
      </c>
      <c r="F18" s="19">
        <f t="shared" si="0"/>
        <v>8.3417491415875578</v>
      </c>
      <c r="G18" s="2">
        <v>690</v>
      </c>
      <c r="H18" s="47">
        <v>36723.890000000007</v>
      </c>
      <c r="I18" s="19">
        <f t="shared" si="1"/>
        <v>1.8788859241218723</v>
      </c>
      <c r="J18" s="2">
        <f>D18/G18</f>
        <v>59.855072463768117</v>
      </c>
      <c r="K18" s="2">
        <f t="shared" si="2"/>
        <v>0</v>
      </c>
      <c r="L18" s="17" t="s">
        <v>58</v>
      </c>
      <c r="M18"/>
      <c r="N18" s="11"/>
      <c r="Q18" s="24" t="s">
        <v>124</v>
      </c>
      <c r="R18" s="45">
        <v>16745.310000000005</v>
      </c>
      <c r="S18" s="36"/>
    </row>
    <row r="19" spans="1:19" ht="15.75" customHeight="1">
      <c r="A19" s="2" t="s">
        <v>4</v>
      </c>
      <c r="B19" s="2" t="s">
        <v>22</v>
      </c>
      <c r="C19" s="2" t="s">
        <v>76</v>
      </c>
      <c r="D19" s="2">
        <v>23331</v>
      </c>
      <c r="E19" s="2">
        <v>678900</v>
      </c>
      <c r="F19" s="19">
        <f t="shared" si="0"/>
        <v>3.4365885992045957</v>
      </c>
      <c r="G19" s="2">
        <v>92</v>
      </c>
      <c r="H19" s="47">
        <v>41826.9</v>
      </c>
      <c r="I19" s="19">
        <f t="shared" si="1"/>
        <v>0.21995414434251639</v>
      </c>
      <c r="J19" s="2">
        <f>D19/G19</f>
        <v>253.59782608695653</v>
      </c>
      <c r="K19" s="2">
        <f t="shared" si="2"/>
        <v>0</v>
      </c>
      <c r="L19" s="17" t="s">
        <v>58</v>
      </c>
      <c r="M19"/>
      <c r="N19" s="11"/>
      <c r="Q19" s="24" t="s">
        <v>125</v>
      </c>
      <c r="R19" s="45">
        <v>132423.07</v>
      </c>
      <c r="S19" s="39"/>
    </row>
    <row r="20" spans="1:19" ht="15.75" customHeight="1">
      <c r="A20" s="2" t="s">
        <v>4</v>
      </c>
      <c r="B20" s="2" t="s">
        <v>23</v>
      </c>
      <c r="C20" s="2" t="s">
        <v>77</v>
      </c>
      <c r="D20" s="2">
        <v>22119</v>
      </c>
      <c r="E20" s="2">
        <v>710600</v>
      </c>
      <c r="F20" s="19">
        <f t="shared" si="0"/>
        <v>3.1127216436813958</v>
      </c>
      <c r="G20" s="2">
        <v>1583</v>
      </c>
      <c r="H20" s="47">
        <v>38913.160000000003</v>
      </c>
      <c r="I20" s="19">
        <f t="shared" si="1"/>
        <v>4.0680325113663347</v>
      </c>
      <c r="J20" s="2">
        <f>D20/G20</f>
        <v>13.972836386607707</v>
      </c>
      <c r="K20" s="2">
        <f t="shared" si="2"/>
        <v>1</v>
      </c>
      <c r="L20" s="17" t="s">
        <v>57</v>
      </c>
      <c r="M20"/>
      <c r="N20" s="11"/>
      <c r="Q20" s="24" t="s">
        <v>126</v>
      </c>
      <c r="R20" s="45">
        <v>61154.81</v>
      </c>
      <c r="S20" s="11"/>
    </row>
    <row r="21" spans="1:19" ht="15.75" customHeight="1">
      <c r="A21" s="2" t="s">
        <v>4</v>
      </c>
      <c r="B21" s="2" t="s">
        <v>24</v>
      </c>
      <c r="C21" s="2" t="s">
        <v>78</v>
      </c>
      <c r="D21" s="2">
        <v>4537</v>
      </c>
      <c r="E21" s="2">
        <v>179200</v>
      </c>
      <c r="F21" s="19">
        <f t="shared" si="0"/>
        <v>2.5318080357142856</v>
      </c>
      <c r="G21" s="2">
        <v>122</v>
      </c>
      <c r="H21" s="47">
        <v>15033.900000000001</v>
      </c>
      <c r="I21" s="19">
        <f t="shared" si="1"/>
        <v>0.81149934481405339</v>
      </c>
      <c r="J21" s="2">
        <f>D21/G21</f>
        <v>37.188524590163937</v>
      </c>
      <c r="K21" s="2">
        <f t="shared" si="2"/>
        <v>0</v>
      </c>
      <c r="L21" s="17" t="s">
        <v>58</v>
      </c>
      <c r="M21"/>
      <c r="N21" s="13"/>
      <c r="Q21" s="25" t="s">
        <v>127</v>
      </c>
      <c r="R21" s="45">
        <v>35618.459999999992</v>
      </c>
      <c r="S21" s="38"/>
    </row>
    <row r="22" spans="1:19" ht="15.75" customHeight="1">
      <c r="A22" s="2" t="s">
        <v>4</v>
      </c>
      <c r="B22" s="2" t="s">
        <v>25</v>
      </c>
      <c r="C22" s="2" t="s">
        <v>79</v>
      </c>
      <c r="D22" s="2">
        <v>84095</v>
      </c>
      <c r="E22" s="2">
        <v>898800</v>
      </c>
      <c r="F22" s="19">
        <f t="shared" si="0"/>
        <v>9.356364040943479</v>
      </c>
      <c r="G22" s="2">
        <v>1419</v>
      </c>
      <c r="H22" s="47">
        <v>60698.9</v>
      </c>
      <c r="I22" s="19">
        <f t="shared" si="1"/>
        <v>2.3377688887278021</v>
      </c>
      <c r="J22" s="2">
        <f>D22/G22</f>
        <v>59.263565891472865</v>
      </c>
      <c r="K22" s="2">
        <f t="shared" si="2"/>
        <v>0</v>
      </c>
      <c r="L22" s="17" t="s">
        <v>58</v>
      </c>
      <c r="M22"/>
      <c r="N22" s="11"/>
      <c r="Q22" s="24" t="s">
        <v>128</v>
      </c>
      <c r="R22" s="45">
        <v>36723.890000000007</v>
      </c>
      <c r="S22" s="36"/>
    </row>
    <row r="23" spans="1:19" ht="15.75" customHeight="1">
      <c r="A23" s="2" t="s">
        <v>4</v>
      </c>
      <c r="B23" s="2" t="s">
        <v>26</v>
      </c>
      <c r="C23" s="2" t="s">
        <v>80</v>
      </c>
      <c r="D23" s="2">
        <v>84782</v>
      </c>
      <c r="E23" s="2">
        <v>963100</v>
      </c>
      <c r="F23" s="19">
        <f t="shared" si="0"/>
        <v>8.803031876232998</v>
      </c>
      <c r="G23" s="2">
        <v>1718</v>
      </c>
      <c r="H23" s="47">
        <v>73868.489999999991</v>
      </c>
      <c r="I23" s="19">
        <f t="shared" si="1"/>
        <v>2.3257548651664606</v>
      </c>
      <c r="J23" s="2">
        <f>D23/G23</f>
        <v>49.349243306169967</v>
      </c>
      <c r="K23" s="2">
        <f t="shared" si="2"/>
        <v>0</v>
      </c>
      <c r="L23" s="17" t="s">
        <v>58</v>
      </c>
      <c r="M23"/>
      <c r="N23" s="11"/>
      <c r="Q23" s="24" t="s">
        <v>129</v>
      </c>
      <c r="R23" s="45">
        <v>41826.9</v>
      </c>
      <c r="S23" s="39"/>
    </row>
    <row r="24" spans="1:19" ht="15.75" customHeight="1">
      <c r="A24" s="2" t="s">
        <v>4</v>
      </c>
      <c r="B24" s="2" t="s">
        <v>27</v>
      </c>
      <c r="C24" s="2" t="s">
        <v>81</v>
      </c>
      <c r="D24" s="2">
        <v>92452</v>
      </c>
      <c r="E24" s="2">
        <v>1499800</v>
      </c>
      <c r="F24" s="19">
        <f t="shared" si="0"/>
        <v>6.1642885718095748</v>
      </c>
      <c r="G24" s="2">
        <v>958</v>
      </c>
      <c r="H24" s="47">
        <v>85015.360000000001</v>
      </c>
      <c r="I24" s="19">
        <f t="shared" si="1"/>
        <v>1.1268551941672658</v>
      </c>
      <c r="J24" s="2">
        <f>D24/G24</f>
        <v>96.505219206680579</v>
      </c>
      <c r="K24" s="2">
        <f t="shared" si="2"/>
        <v>0</v>
      </c>
      <c r="L24" s="17" t="s">
        <v>58</v>
      </c>
      <c r="M24"/>
      <c r="N24" s="11"/>
      <c r="Q24" s="24" t="s">
        <v>130</v>
      </c>
      <c r="R24" s="45">
        <v>38913.160000000003</v>
      </c>
      <c r="S24" s="36"/>
    </row>
    <row r="25" spans="1:19" ht="15.75" customHeight="1">
      <c r="A25" s="2" t="s">
        <v>4</v>
      </c>
      <c r="B25" s="2" t="s">
        <v>28</v>
      </c>
      <c r="C25" s="2" t="s">
        <v>82</v>
      </c>
      <c r="D25" s="2">
        <v>68986</v>
      </c>
      <c r="E25" s="2">
        <v>892200</v>
      </c>
      <c r="F25" s="19">
        <f t="shared" si="0"/>
        <v>7.7321228424120143</v>
      </c>
      <c r="G25" s="2">
        <v>1699</v>
      </c>
      <c r="H25" s="47">
        <v>57698.44</v>
      </c>
      <c r="I25" s="19">
        <f t="shared" si="1"/>
        <v>2.9446203398220123</v>
      </c>
      <c r="J25" s="2">
        <f>D25/G25</f>
        <v>40.603884638022365</v>
      </c>
      <c r="K25" s="2">
        <f t="shared" si="2"/>
        <v>0</v>
      </c>
      <c r="L25" s="17" t="s">
        <v>58</v>
      </c>
      <c r="M25"/>
      <c r="N25" s="11"/>
      <c r="Q25" s="24" t="s">
        <v>131</v>
      </c>
      <c r="R25" s="45">
        <v>15033.900000000001</v>
      </c>
      <c r="S25" s="36"/>
    </row>
    <row r="26" spans="1:19" ht="15.75" customHeight="1">
      <c r="A26" s="2" t="s">
        <v>4</v>
      </c>
      <c r="B26" s="2" t="s">
        <v>29</v>
      </c>
      <c r="C26" s="2" t="s">
        <v>83</v>
      </c>
      <c r="D26" s="2">
        <v>9043</v>
      </c>
      <c r="E26" s="2">
        <v>471400</v>
      </c>
      <c r="F26" s="19">
        <f t="shared" si="0"/>
        <v>1.9183283835383962</v>
      </c>
      <c r="G26" s="2">
        <v>58</v>
      </c>
      <c r="H26" s="47">
        <v>31962.71</v>
      </c>
      <c r="I26" s="19">
        <f t="shared" si="1"/>
        <v>0.18146145930679847</v>
      </c>
      <c r="J26" s="2">
        <f>D26/G26</f>
        <v>155.91379310344828</v>
      </c>
      <c r="K26" s="2">
        <f t="shared" si="2"/>
        <v>0</v>
      </c>
      <c r="L26" s="17" t="s">
        <v>58</v>
      </c>
      <c r="M26"/>
      <c r="N26" s="13"/>
      <c r="Q26" s="25" t="s">
        <v>132</v>
      </c>
      <c r="R26" s="45">
        <v>60698.9</v>
      </c>
      <c r="S26" s="38"/>
    </row>
    <row r="27" spans="1:19" ht="15.75" customHeight="1">
      <c r="A27" s="2" t="s">
        <v>4</v>
      </c>
      <c r="B27" s="2" t="s">
        <v>30</v>
      </c>
      <c r="C27" s="2" t="s">
        <v>84</v>
      </c>
      <c r="D27" s="2">
        <v>30638</v>
      </c>
      <c r="E27" s="2">
        <v>913100</v>
      </c>
      <c r="F27" s="19">
        <f t="shared" si="0"/>
        <v>3.3553827620194938</v>
      </c>
      <c r="G27" s="2">
        <v>643</v>
      </c>
      <c r="H27" s="47">
        <v>68498.459999999992</v>
      </c>
      <c r="I27" s="19">
        <f t="shared" si="1"/>
        <v>0.9387072351699588</v>
      </c>
      <c r="J27" s="2">
        <f>D27/G27</f>
        <v>47.648522550544321</v>
      </c>
      <c r="K27" s="2">
        <f t="shared" si="2"/>
        <v>0</v>
      </c>
      <c r="L27" s="17" t="s">
        <v>58</v>
      </c>
      <c r="M27"/>
      <c r="N27" s="11"/>
      <c r="Q27" s="24" t="s">
        <v>133</v>
      </c>
      <c r="R27" s="45">
        <v>73868.489999999991</v>
      </c>
      <c r="S27" s="36"/>
    </row>
    <row r="28" spans="1:19" ht="15.75" customHeight="1">
      <c r="A28" s="2" t="s">
        <v>4</v>
      </c>
      <c r="B28" s="2" t="s">
        <v>31</v>
      </c>
      <c r="C28" s="2" t="s">
        <v>85</v>
      </c>
      <c r="D28" s="2">
        <v>2805</v>
      </c>
      <c r="E28" s="2">
        <v>150400</v>
      </c>
      <c r="F28" s="19">
        <f t="shared" si="0"/>
        <v>1.8650265957446808</v>
      </c>
      <c r="G28" s="2">
        <v>720</v>
      </c>
      <c r="H28" s="47">
        <v>10575.24</v>
      </c>
      <c r="I28" s="19">
        <f t="shared" si="1"/>
        <v>6.808356122414243</v>
      </c>
      <c r="J28" s="2">
        <f>D28/G28</f>
        <v>3.8958333333333335</v>
      </c>
      <c r="K28" s="2">
        <f t="shared" si="2"/>
        <v>1</v>
      </c>
      <c r="L28" s="17" t="s">
        <v>57</v>
      </c>
      <c r="M28"/>
      <c r="N28" s="11"/>
      <c r="Q28" s="24" t="s">
        <v>134</v>
      </c>
      <c r="R28" s="45">
        <v>85015.360000000001</v>
      </c>
      <c r="S28" s="39"/>
    </row>
    <row r="29" spans="1:19" ht="15.75" customHeight="1">
      <c r="A29" s="2" t="s">
        <v>4</v>
      </c>
      <c r="B29" s="2" t="s">
        <v>32</v>
      </c>
      <c r="C29" s="2" t="s">
        <v>86</v>
      </c>
      <c r="D29" s="2">
        <v>21991</v>
      </c>
      <c r="E29" s="2">
        <v>325900</v>
      </c>
      <c r="F29" s="19">
        <f t="shared" si="0"/>
        <v>6.7477753912243017</v>
      </c>
      <c r="G29" s="2">
        <v>1086</v>
      </c>
      <c r="H29" s="47">
        <v>23911.600000000002</v>
      </c>
      <c r="I29" s="19">
        <f t="shared" si="1"/>
        <v>4.5417287007142972</v>
      </c>
      <c r="J29" s="2">
        <f>D29/G29</f>
        <v>20.249539594843462</v>
      </c>
      <c r="K29" s="2">
        <f t="shared" si="2"/>
        <v>0</v>
      </c>
      <c r="L29" s="17" t="s">
        <v>58</v>
      </c>
      <c r="M29"/>
      <c r="N29" s="11"/>
      <c r="Q29" s="24" t="s">
        <v>135</v>
      </c>
      <c r="R29" s="45">
        <v>57698.44</v>
      </c>
      <c r="S29" s="36"/>
    </row>
    <row r="30" spans="1:19" ht="15.75" customHeight="1">
      <c r="A30" s="2" t="s">
        <v>4</v>
      </c>
      <c r="B30" s="2" t="s">
        <v>33</v>
      </c>
      <c r="C30" s="2" t="s">
        <v>87</v>
      </c>
      <c r="D30" s="2">
        <v>72957</v>
      </c>
      <c r="E30" s="2">
        <v>492200</v>
      </c>
      <c r="F30" s="19">
        <f t="shared" si="0"/>
        <v>14.822633075985372</v>
      </c>
      <c r="G30" s="2">
        <v>2692</v>
      </c>
      <c r="H30" s="47">
        <v>23240</v>
      </c>
      <c r="I30" s="19">
        <f t="shared" si="1"/>
        <v>11.583476764199656</v>
      </c>
      <c r="J30" s="2">
        <f>D30/G30</f>
        <v>27.101411589895989</v>
      </c>
      <c r="K30" s="2">
        <f t="shared" si="2"/>
        <v>0</v>
      </c>
      <c r="L30" s="17" t="s">
        <v>58</v>
      </c>
      <c r="M30"/>
      <c r="N30" s="11"/>
      <c r="Q30" s="24" t="s">
        <v>136</v>
      </c>
      <c r="R30" s="45">
        <v>31962.71</v>
      </c>
      <c r="S30" s="36"/>
    </row>
    <row r="31" spans="1:19" ht="15.75" customHeight="1">
      <c r="A31" s="2" t="s">
        <v>4</v>
      </c>
      <c r="B31" s="2" t="s">
        <v>34</v>
      </c>
      <c r="C31" s="2" t="s">
        <v>88</v>
      </c>
      <c r="D31" s="2">
        <v>4632</v>
      </c>
      <c r="E31" s="2">
        <v>177900</v>
      </c>
      <c r="F31" s="19">
        <f t="shared" si="0"/>
        <v>2.6037099494097808</v>
      </c>
      <c r="G31" s="2">
        <v>174</v>
      </c>
      <c r="H31" s="47">
        <v>14643.5</v>
      </c>
      <c r="I31" s="19">
        <f t="shared" si="1"/>
        <v>1.1882405162700176</v>
      </c>
      <c r="J31" s="2">
        <f>D31/G31</f>
        <v>26.620689655172413</v>
      </c>
      <c r="K31" s="2">
        <f t="shared" si="2"/>
        <v>0</v>
      </c>
      <c r="L31" s="17" t="s">
        <v>58</v>
      </c>
      <c r="M31"/>
      <c r="N31" s="13"/>
      <c r="Q31" s="25" t="s">
        <v>137</v>
      </c>
      <c r="R31" s="45">
        <v>68498.459999999992</v>
      </c>
      <c r="S31" s="38"/>
    </row>
    <row r="32" spans="1:19" ht="15.75" customHeight="1">
      <c r="A32" s="2" t="s">
        <v>4</v>
      </c>
      <c r="B32" s="2" t="s">
        <v>35</v>
      </c>
      <c r="C32" s="2" t="s">
        <v>89</v>
      </c>
      <c r="D32" s="2">
        <v>80853</v>
      </c>
      <c r="E32" s="2">
        <v>1402200</v>
      </c>
      <c r="F32" s="19">
        <f t="shared" si="0"/>
        <v>5.7661531878476682</v>
      </c>
      <c r="G32" s="2">
        <v>3968</v>
      </c>
      <c r="H32" s="47">
        <v>116188.58000000002</v>
      </c>
      <c r="I32" s="19">
        <f t="shared" si="1"/>
        <v>3.4151377011406794</v>
      </c>
      <c r="J32" s="2">
        <f>D32/G32</f>
        <v>20.37626008064516</v>
      </c>
      <c r="K32" s="2">
        <f t="shared" si="2"/>
        <v>0</v>
      </c>
      <c r="L32" s="17" t="s">
        <v>58</v>
      </c>
      <c r="M32"/>
      <c r="N32" s="11"/>
      <c r="Q32" s="24" t="s">
        <v>138</v>
      </c>
      <c r="R32" s="45">
        <v>10575.24</v>
      </c>
      <c r="S32" s="36"/>
    </row>
    <row r="33" spans="1:19" ht="15.75" customHeight="1">
      <c r="A33" s="2" t="s">
        <v>4</v>
      </c>
      <c r="B33" s="2" t="s">
        <v>36</v>
      </c>
      <c r="C33" s="2" t="s">
        <v>90</v>
      </c>
      <c r="D33" s="2">
        <v>36435</v>
      </c>
      <c r="E33" s="2">
        <v>330600</v>
      </c>
      <c r="F33" s="19">
        <f t="shared" si="0"/>
        <v>11.020871143375681</v>
      </c>
      <c r="G33" s="2">
        <v>5965</v>
      </c>
      <c r="H33" s="47">
        <v>21139.210000000003</v>
      </c>
      <c r="I33" s="19">
        <f t="shared" si="1"/>
        <v>28.217705392017955</v>
      </c>
      <c r="J33" s="2">
        <f>D33/G33</f>
        <v>6.1081307627829</v>
      </c>
      <c r="K33" s="2">
        <f t="shared" si="2"/>
        <v>1</v>
      </c>
      <c r="L33" s="17" t="s">
        <v>57</v>
      </c>
      <c r="M33"/>
      <c r="N33" s="11"/>
      <c r="Q33" s="24" t="s">
        <v>139</v>
      </c>
      <c r="R33" s="45">
        <v>23911.600000000002</v>
      </c>
      <c r="S33" s="36"/>
    </row>
    <row r="34" spans="1:19" ht="15.75" customHeight="1">
      <c r="A34" s="2" t="s">
        <v>4</v>
      </c>
      <c r="B34" s="2" t="s">
        <v>37</v>
      </c>
      <c r="C34" s="2" t="s">
        <v>91</v>
      </c>
      <c r="D34" s="2">
        <v>223386</v>
      </c>
      <c r="E34" s="2">
        <v>2718900</v>
      </c>
      <c r="F34" s="19">
        <f t="shared" si="0"/>
        <v>8.2160432527860543</v>
      </c>
      <c r="G34" s="2">
        <v>7771</v>
      </c>
      <c r="H34" s="47">
        <v>212156.93</v>
      </c>
      <c r="I34" s="19">
        <f t="shared" si="1"/>
        <v>3.6628546614055928</v>
      </c>
      <c r="J34" s="2">
        <f>D34/G34</f>
        <v>28.746107322094968</v>
      </c>
      <c r="K34" s="2">
        <f t="shared" si="2"/>
        <v>0</v>
      </c>
      <c r="L34" s="16" t="s">
        <v>58</v>
      </c>
      <c r="M34"/>
      <c r="N34" s="11"/>
      <c r="Q34" s="24" t="s">
        <v>140</v>
      </c>
      <c r="R34" s="45">
        <v>23240</v>
      </c>
      <c r="S34" s="36"/>
    </row>
    <row r="35" spans="1:19" ht="15.75" customHeight="1">
      <c r="A35" s="2" t="s">
        <v>4</v>
      </c>
      <c r="B35" s="2" t="s">
        <v>38</v>
      </c>
      <c r="C35" s="2" t="s">
        <v>92</v>
      </c>
      <c r="D35" s="2">
        <v>109850</v>
      </c>
      <c r="E35" s="2">
        <v>1550400</v>
      </c>
      <c r="F35" s="19">
        <f t="shared" si="0"/>
        <v>7.0852683178534575</v>
      </c>
      <c r="G35" s="2">
        <v>1848</v>
      </c>
      <c r="H35" s="47">
        <v>100220.29999999999</v>
      </c>
      <c r="I35" s="19">
        <f t="shared" si="1"/>
        <v>1.843937805015551</v>
      </c>
      <c r="J35" s="2">
        <f>D35/G35</f>
        <v>59.442640692640694</v>
      </c>
      <c r="K35" s="2">
        <f t="shared" si="2"/>
        <v>0</v>
      </c>
      <c r="L35" s="16" t="s">
        <v>58</v>
      </c>
      <c r="M35"/>
      <c r="N35" s="11"/>
      <c r="Q35" s="24" t="s">
        <v>141</v>
      </c>
      <c r="R35" s="45">
        <v>14643.5</v>
      </c>
      <c r="S35" s="36"/>
    </row>
    <row r="36" spans="1:19" ht="15.75" customHeight="1">
      <c r="A36" s="2" t="s">
        <v>4</v>
      </c>
      <c r="B36" s="2" t="s">
        <v>39</v>
      </c>
      <c r="C36" s="2" t="s">
        <v>93</v>
      </c>
      <c r="D36" s="2">
        <v>3838</v>
      </c>
      <c r="E36" s="2">
        <v>111100</v>
      </c>
      <c r="F36" s="19">
        <f t="shared" si="0"/>
        <v>3.4545454545454546</v>
      </c>
      <c r="G36" s="2">
        <v>168</v>
      </c>
      <c r="H36" s="47">
        <v>9470.08</v>
      </c>
      <c r="I36" s="19">
        <f t="shared" si="1"/>
        <v>1.7740082449145096</v>
      </c>
      <c r="J36" s="2">
        <f>D36/G36</f>
        <v>22.845238095238095</v>
      </c>
      <c r="K36" s="2">
        <f t="shared" si="2"/>
        <v>0</v>
      </c>
      <c r="L36" s="16" t="s">
        <v>58</v>
      </c>
      <c r="M36"/>
      <c r="N36" s="13"/>
      <c r="Q36" s="25" t="s">
        <v>142</v>
      </c>
      <c r="R36" s="45">
        <v>116188.58000000002</v>
      </c>
      <c r="S36" s="38" t="s">
        <v>162</v>
      </c>
    </row>
    <row r="37" spans="1:19" ht="15.75" customHeight="1">
      <c r="A37" s="2" t="s">
        <v>4</v>
      </c>
      <c r="B37" s="2" t="s">
        <v>40</v>
      </c>
      <c r="C37" s="2" t="s">
        <v>94</v>
      </c>
      <c r="D37" s="2">
        <v>54693</v>
      </c>
      <c r="E37" s="2">
        <v>1690900</v>
      </c>
      <c r="F37" s="19">
        <f t="shared" si="0"/>
        <v>3.2345496481163876</v>
      </c>
      <c r="G37" s="2">
        <v>601</v>
      </c>
      <c r="H37" s="47">
        <v>101739.40000000001</v>
      </c>
      <c r="I37" s="19">
        <f t="shared" si="1"/>
        <v>0.59072493055787623</v>
      </c>
      <c r="J37" s="2">
        <f>D37/G37</f>
        <v>91.003327787021632</v>
      </c>
      <c r="K37" s="2">
        <f t="shared" si="2"/>
        <v>0</v>
      </c>
      <c r="L37" s="16" t="s">
        <v>58</v>
      </c>
      <c r="M37"/>
      <c r="N37" s="11"/>
      <c r="Q37" s="24" t="s">
        <v>143</v>
      </c>
      <c r="R37" s="45">
        <v>21139.210000000003</v>
      </c>
      <c r="S37" s="36"/>
    </row>
    <row r="38" spans="1:19" ht="15.75" customHeight="1">
      <c r="A38" s="2" t="s">
        <v>4</v>
      </c>
      <c r="B38" s="2" t="s">
        <v>41</v>
      </c>
      <c r="C38" s="2" t="s">
        <v>95</v>
      </c>
      <c r="D38" s="2">
        <v>50299</v>
      </c>
      <c r="E38" s="2">
        <v>697400</v>
      </c>
      <c r="F38" s="19">
        <f t="shared" si="0"/>
        <v>7.2123601950100369</v>
      </c>
      <c r="G38" s="2">
        <v>14882</v>
      </c>
      <c r="H38" s="47">
        <v>42447.9</v>
      </c>
      <c r="I38" s="19">
        <f t="shared" si="1"/>
        <v>35.059449348495448</v>
      </c>
      <c r="J38" s="2">
        <f>D38/G38</f>
        <v>3.3798548582179815</v>
      </c>
      <c r="K38" s="2">
        <f t="shared" si="2"/>
        <v>1</v>
      </c>
      <c r="L38" s="16" t="s">
        <v>57</v>
      </c>
      <c r="M38"/>
      <c r="N38" s="11"/>
      <c r="Q38" s="24" t="s">
        <v>144</v>
      </c>
      <c r="R38" s="45">
        <v>212156.93</v>
      </c>
      <c r="S38" s="36"/>
    </row>
    <row r="39" spans="1:19" ht="15.75" customHeight="1">
      <c r="A39" s="2" t="s">
        <v>4</v>
      </c>
      <c r="B39" s="2" t="s">
        <v>42</v>
      </c>
      <c r="C39" s="2" t="s">
        <v>96</v>
      </c>
      <c r="D39" s="2">
        <v>48295</v>
      </c>
      <c r="E39" s="2">
        <v>610200</v>
      </c>
      <c r="F39" s="19">
        <f t="shared" si="0"/>
        <v>7.9146181579809909</v>
      </c>
      <c r="G39" s="2">
        <v>753</v>
      </c>
      <c r="H39" s="47">
        <v>30151.69</v>
      </c>
      <c r="I39" s="19">
        <f t="shared" si="1"/>
        <v>2.4973724524230652</v>
      </c>
      <c r="J39" s="2">
        <f>D39/G39</f>
        <v>64.136786188579023</v>
      </c>
      <c r="K39" s="2">
        <f t="shared" si="2"/>
        <v>0</v>
      </c>
      <c r="L39" s="16" t="s">
        <v>58</v>
      </c>
      <c r="M39"/>
      <c r="N39" s="11"/>
      <c r="Q39" s="24" t="s">
        <v>145</v>
      </c>
      <c r="R39" s="45">
        <v>100220.29999999999</v>
      </c>
      <c r="S39" s="39"/>
    </row>
    <row r="40" spans="1:19" ht="15.75" customHeight="1">
      <c r="A40" s="2" t="s">
        <v>4</v>
      </c>
      <c r="B40" s="2" t="s">
        <v>43</v>
      </c>
      <c r="C40" s="2" t="s">
        <v>97</v>
      </c>
      <c r="D40" s="2">
        <v>67725</v>
      </c>
      <c r="E40" s="2">
        <v>1719900</v>
      </c>
      <c r="F40" s="19">
        <f t="shared" si="0"/>
        <v>3.9377289377289375</v>
      </c>
      <c r="G40" s="2">
        <v>2935</v>
      </c>
      <c r="H40" s="47">
        <v>123350.43</v>
      </c>
      <c r="I40" s="19">
        <f t="shared" si="1"/>
        <v>2.3793998934580127</v>
      </c>
      <c r="J40" s="2">
        <f>D40/G40</f>
        <v>23.074957410562181</v>
      </c>
      <c r="K40" s="2">
        <f t="shared" si="2"/>
        <v>0</v>
      </c>
      <c r="L40" s="16" t="s">
        <v>58</v>
      </c>
      <c r="M40"/>
      <c r="N40" s="11"/>
      <c r="Q40" s="24" t="s">
        <v>146</v>
      </c>
      <c r="R40" s="45">
        <v>9470.08</v>
      </c>
      <c r="S40" s="36"/>
    </row>
    <row r="41" spans="1:19" ht="15.75" customHeight="1">
      <c r="A41" s="2" t="s">
        <v>4</v>
      </c>
      <c r="B41" s="2" t="s">
        <v>44</v>
      </c>
      <c r="C41" s="2" t="s">
        <v>98</v>
      </c>
      <c r="D41" s="2">
        <v>12993</v>
      </c>
      <c r="E41" s="2">
        <v>143200</v>
      </c>
      <c r="F41" s="19">
        <f t="shared" si="0"/>
        <v>9.0733240223463678</v>
      </c>
      <c r="G41" s="2">
        <v>512</v>
      </c>
      <c r="H41" s="47">
        <v>10749.13</v>
      </c>
      <c r="I41" s="19">
        <f t="shared" si="1"/>
        <v>4.7631761826305947</v>
      </c>
      <c r="J41" s="2">
        <f>D41/G41</f>
        <v>25.376953125</v>
      </c>
      <c r="K41" s="2">
        <f t="shared" si="2"/>
        <v>0</v>
      </c>
      <c r="L41" s="16" t="s">
        <v>58</v>
      </c>
      <c r="M41"/>
      <c r="N41" s="13"/>
      <c r="Q41" s="25" t="s">
        <v>147</v>
      </c>
      <c r="R41" s="45">
        <v>101739.40000000001</v>
      </c>
      <c r="S41" s="38"/>
    </row>
    <row r="42" spans="1:19" ht="15.75" customHeight="1">
      <c r="A42" s="2" t="s">
        <v>4</v>
      </c>
      <c r="B42" s="2" t="s">
        <v>45</v>
      </c>
      <c r="C42" s="2" t="s">
        <v>99</v>
      </c>
      <c r="D42" s="2">
        <v>45018</v>
      </c>
      <c r="E42" s="2">
        <v>780200</v>
      </c>
      <c r="F42" s="19">
        <f t="shared" si="0"/>
        <v>5.7700589592412204</v>
      </c>
      <c r="G42" s="2">
        <v>859</v>
      </c>
      <c r="H42" s="47">
        <v>52729.5</v>
      </c>
      <c r="I42" s="19">
        <f t="shared" si="1"/>
        <v>1.6290691169079927</v>
      </c>
      <c r="J42" s="2">
        <f>D42/G42</f>
        <v>52.407450523864959</v>
      </c>
      <c r="K42" s="2">
        <f t="shared" si="2"/>
        <v>0</v>
      </c>
      <c r="L42" s="16" t="s">
        <v>58</v>
      </c>
      <c r="M42"/>
      <c r="N42" s="11"/>
      <c r="Q42" s="24" t="s">
        <v>148</v>
      </c>
      <c r="R42" s="45">
        <v>42447.9</v>
      </c>
      <c r="S42" s="36"/>
    </row>
    <row r="43" spans="1:19" ht="15.75" customHeight="1">
      <c r="A43" s="2" t="s">
        <v>4</v>
      </c>
      <c r="B43" s="2" t="s">
        <v>46</v>
      </c>
      <c r="C43" s="2" t="s">
        <v>100</v>
      </c>
      <c r="D43" s="2">
        <v>5756</v>
      </c>
      <c r="E43" s="2">
        <v>139000</v>
      </c>
      <c r="F43" s="19">
        <f t="shared" si="0"/>
        <v>4.1410071942446045</v>
      </c>
      <c r="G43" s="2">
        <v>109</v>
      </c>
      <c r="H43" s="47">
        <v>9865.42</v>
      </c>
      <c r="I43" s="19">
        <f t="shared" si="1"/>
        <v>1.1048693314628268</v>
      </c>
      <c r="J43" s="2">
        <f>D43/G43</f>
        <v>52.807339449541281</v>
      </c>
      <c r="K43" s="2">
        <f t="shared" si="2"/>
        <v>0</v>
      </c>
      <c r="L43" s="16" t="s">
        <v>58</v>
      </c>
      <c r="M43"/>
      <c r="N43" s="11"/>
      <c r="Q43" s="24" t="s">
        <v>149</v>
      </c>
      <c r="R43" s="45">
        <v>30151.69</v>
      </c>
      <c r="S43" s="36"/>
    </row>
    <row r="44" spans="1:19" ht="15.75" customHeight="1">
      <c r="A44" s="2" t="s">
        <v>4</v>
      </c>
      <c r="B44" s="2" t="s">
        <v>47</v>
      </c>
      <c r="C44" s="2" t="s">
        <v>101</v>
      </c>
      <c r="D44" s="2">
        <v>44734</v>
      </c>
      <c r="E44" s="2">
        <v>1000200</v>
      </c>
      <c r="F44" s="19">
        <f t="shared" si="0"/>
        <v>4.4725054989002198</v>
      </c>
      <c r="G44" s="2">
        <v>1514</v>
      </c>
      <c r="H44" s="47">
        <v>64116</v>
      </c>
      <c r="I44" s="19">
        <f t="shared" si="1"/>
        <v>2.3613450620749892</v>
      </c>
      <c r="J44" s="2">
        <f>D44/G44</f>
        <v>29.546895640686923</v>
      </c>
      <c r="K44" s="2">
        <f t="shared" si="2"/>
        <v>0</v>
      </c>
      <c r="L44" s="16" t="s">
        <v>58</v>
      </c>
      <c r="M44"/>
      <c r="N44" s="11"/>
      <c r="Q44" s="24" t="s">
        <v>150</v>
      </c>
      <c r="R44" s="45">
        <v>123350.43</v>
      </c>
      <c r="S44" s="36"/>
    </row>
    <row r="45" spans="1:19" ht="15.75" customHeight="1">
      <c r="A45" s="2" t="s">
        <v>4</v>
      </c>
      <c r="B45" s="2" t="s">
        <v>48</v>
      </c>
      <c r="C45" s="2" t="s">
        <v>102</v>
      </c>
      <c r="D45" s="2">
        <v>965330</v>
      </c>
      <c r="E45" s="2">
        <v>5425200</v>
      </c>
      <c r="F45" s="19">
        <f t="shared" si="0"/>
        <v>17.793445402934456</v>
      </c>
      <c r="G45" s="2">
        <v>29044</v>
      </c>
      <c r="H45" s="47">
        <v>359575.85999999993</v>
      </c>
      <c r="I45" s="19">
        <f t="shared" si="1"/>
        <v>8.0772941765334316</v>
      </c>
      <c r="J45" s="2">
        <f>D45/G45</f>
        <v>33.236813111141714</v>
      </c>
      <c r="K45" s="2">
        <f t="shared" si="2"/>
        <v>0</v>
      </c>
      <c r="L45" s="16" t="s">
        <v>58</v>
      </c>
      <c r="M45"/>
      <c r="N45" s="11"/>
      <c r="Q45" s="24" t="s">
        <v>151</v>
      </c>
      <c r="R45" s="45">
        <v>10749.13</v>
      </c>
      <c r="S45" s="39"/>
    </row>
    <row r="46" spans="1:19" ht="15.75" customHeight="1">
      <c r="A46" s="2" t="s">
        <v>4</v>
      </c>
      <c r="B46" s="2" t="s">
        <v>49</v>
      </c>
      <c r="C46" s="2" t="s">
        <v>103</v>
      </c>
      <c r="D46" s="2">
        <v>30878</v>
      </c>
      <c r="E46" s="2">
        <v>675400</v>
      </c>
      <c r="F46" s="19">
        <f t="shared" si="0"/>
        <v>4.5718092981936636</v>
      </c>
      <c r="G46" s="2">
        <v>1746</v>
      </c>
      <c r="H46" s="47">
        <v>29753.4</v>
      </c>
      <c r="I46" s="19">
        <f t="shared" si="1"/>
        <v>5.8682369073786527</v>
      </c>
      <c r="J46" s="2">
        <f>D46/G46</f>
        <v>17.68499427262314</v>
      </c>
      <c r="K46" s="2">
        <f t="shared" si="2"/>
        <v>1</v>
      </c>
      <c r="L46" s="16" t="s">
        <v>57</v>
      </c>
      <c r="M46"/>
      <c r="N46" s="11"/>
      <c r="Q46" s="25" t="s">
        <v>152</v>
      </c>
      <c r="R46" s="45">
        <v>52729.5</v>
      </c>
      <c r="S46" s="38"/>
    </row>
    <row r="47" spans="1:19" ht="14">
      <c r="A47" s="2" t="s">
        <v>4</v>
      </c>
      <c r="B47" s="2" t="s">
        <v>50</v>
      </c>
      <c r="C47" s="2" t="s">
        <v>104</v>
      </c>
      <c r="D47" s="2">
        <v>107039</v>
      </c>
      <c r="E47" s="2">
        <v>1292600</v>
      </c>
      <c r="F47" s="19">
        <f t="shared" si="0"/>
        <v>8.2809066996750733</v>
      </c>
      <c r="G47" s="2">
        <v>801</v>
      </c>
      <c r="H47" s="47">
        <v>86973.59</v>
      </c>
      <c r="I47" s="19">
        <f t="shared" si="1"/>
        <v>0.92096922755516941</v>
      </c>
      <c r="J47" s="2">
        <f>D47/G47</f>
        <v>133.63171036204744</v>
      </c>
      <c r="K47" s="2">
        <f t="shared" si="2"/>
        <v>0</v>
      </c>
      <c r="L47" s="16" t="s">
        <v>58</v>
      </c>
      <c r="M47"/>
      <c r="N47" s="11"/>
      <c r="Q47" s="24" t="s">
        <v>153</v>
      </c>
      <c r="R47" s="45">
        <v>9865.42</v>
      </c>
      <c r="S47" s="36"/>
    </row>
    <row r="48" spans="1:19" ht="14">
      <c r="A48" s="2" t="s">
        <v>4</v>
      </c>
      <c r="B48" s="2" t="s">
        <v>51</v>
      </c>
      <c r="C48" s="2" t="s">
        <v>105</v>
      </c>
      <c r="D48" s="2">
        <v>118809</v>
      </c>
      <c r="E48" s="2">
        <v>1118400</v>
      </c>
      <c r="F48" s="19">
        <f t="shared" si="0"/>
        <v>10.623122317596566</v>
      </c>
      <c r="G48" s="2">
        <v>1478</v>
      </c>
      <c r="H48" s="47">
        <v>61837.409999999996</v>
      </c>
      <c r="I48" s="19">
        <f t="shared" si="1"/>
        <v>2.3901389142915268</v>
      </c>
      <c r="J48" s="2">
        <f>D48/G48</f>
        <v>80.384979702300413</v>
      </c>
      <c r="K48" s="2">
        <f t="shared" si="2"/>
        <v>0</v>
      </c>
      <c r="L48" s="16" t="s">
        <v>58</v>
      </c>
      <c r="M48"/>
      <c r="N48" s="11"/>
      <c r="Q48" s="24" t="s">
        <v>154</v>
      </c>
      <c r="R48" s="45">
        <v>64116</v>
      </c>
      <c r="S48" s="40"/>
    </row>
    <row r="49" spans="1:19" ht="14">
      <c r="A49" s="2" t="s">
        <v>4</v>
      </c>
      <c r="B49" s="2" t="s">
        <v>52</v>
      </c>
      <c r="C49" s="2" t="s">
        <v>106</v>
      </c>
      <c r="D49" s="2">
        <v>1992</v>
      </c>
      <c r="E49" s="2">
        <v>269200</v>
      </c>
      <c r="F49" s="19">
        <f t="shared" si="0"/>
        <v>0.73997028231797923</v>
      </c>
      <c r="G49" s="2">
        <v>70</v>
      </c>
      <c r="H49" s="47">
        <v>18911.599999999999</v>
      </c>
      <c r="I49" s="19">
        <f t="shared" si="1"/>
        <v>0.37014319253791328</v>
      </c>
      <c r="J49" s="2">
        <f>D49/G49</f>
        <v>28.457142857142856</v>
      </c>
      <c r="K49" s="2">
        <f t="shared" si="2"/>
        <v>0</v>
      </c>
      <c r="L49" s="16" t="s">
        <v>58</v>
      </c>
      <c r="M49"/>
      <c r="N49" s="11"/>
      <c r="Q49" s="24" t="s">
        <v>155</v>
      </c>
      <c r="R49" s="45">
        <v>359575.85999999993</v>
      </c>
      <c r="S49" s="40"/>
    </row>
    <row r="50" spans="1:19" ht="14">
      <c r="A50" s="2" t="s">
        <v>4</v>
      </c>
      <c r="B50" s="2" t="s">
        <v>53</v>
      </c>
      <c r="C50" s="2" t="s">
        <v>107</v>
      </c>
      <c r="D50" s="2">
        <v>50860</v>
      </c>
      <c r="E50" s="2">
        <v>855700</v>
      </c>
      <c r="F50" s="19">
        <f t="shared" si="0"/>
        <v>5.943671847610144</v>
      </c>
      <c r="G50" s="2">
        <v>2074</v>
      </c>
      <c r="H50" s="47">
        <v>59483.65</v>
      </c>
      <c r="I50" s="19">
        <f t="shared" si="1"/>
        <v>3.4866723881268213</v>
      </c>
      <c r="J50" s="2">
        <f>D50/G50</f>
        <v>24.522661523625843</v>
      </c>
      <c r="K50" s="2">
        <f t="shared" si="2"/>
        <v>0</v>
      </c>
      <c r="L50" s="16" t="s">
        <v>58</v>
      </c>
      <c r="M50"/>
      <c r="N50" s="11"/>
      <c r="Q50" s="24" t="s">
        <v>156</v>
      </c>
      <c r="R50" s="45">
        <v>29753.4</v>
      </c>
      <c r="S50" s="39"/>
    </row>
    <row r="51" spans="1:19" ht="14">
      <c r="A51" s="2" t="s">
        <v>4</v>
      </c>
      <c r="B51" s="2" t="s">
        <v>54</v>
      </c>
      <c r="C51" s="2" t="s">
        <v>108</v>
      </c>
      <c r="D51" s="2">
        <v>2043</v>
      </c>
      <c r="E51" s="2">
        <v>93700</v>
      </c>
      <c r="F51" s="19">
        <f t="shared" si="0"/>
        <v>2.1803628601921026</v>
      </c>
      <c r="G51" s="2">
        <v>54</v>
      </c>
      <c r="H51" s="47">
        <v>7327.3899999999994</v>
      </c>
      <c r="I51" s="19">
        <f>G51/H51*100</f>
        <v>0.73696090968271111</v>
      </c>
      <c r="J51" s="2">
        <f>D51/G51</f>
        <v>37.833333333333336</v>
      </c>
      <c r="K51" s="18">
        <f t="shared" si="2"/>
        <v>0</v>
      </c>
      <c r="L51" s="16" t="s">
        <v>58</v>
      </c>
      <c r="Q51" s="24" t="s">
        <v>157</v>
      </c>
      <c r="R51" s="45">
        <v>86973.59</v>
      </c>
      <c r="S51" s="38"/>
    </row>
    <row r="52" spans="1:19" ht="15.75" customHeight="1">
      <c r="C52" s="12"/>
      <c r="M52" s="5"/>
      <c r="Q52" s="24" t="s">
        <v>158</v>
      </c>
      <c r="R52" s="45">
        <v>61837.409999999996</v>
      </c>
      <c r="S52" s="36" t="s">
        <v>162</v>
      </c>
    </row>
    <row r="53" spans="1:19" ht="15.75" customHeight="1">
      <c r="C53" s="14"/>
      <c r="M53" s="6"/>
      <c r="Q53" s="24" t="s">
        <v>159</v>
      </c>
      <c r="R53" s="45">
        <v>18911.599999999999</v>
      </c>
      <c r="S53" s="36"/>
    </row>
    <row r="54" spans="1:19" ht="15.75" customHeight="1">
      <c r="C54" s="11"/>
      <c r="M54" s="6"/>
      <c r="Q54" s="24" t="s">
        <v>160</v>
      </c>
      <c r="R54" s="45">
        <v>59483.65</v>
      </c>
      <c r="S54" s="36"/>
    </row>
    <row r="55" spans="1:19" ht="15.75" customHeight="1">
      <c r="C55" s="11"/>
      <c r="M55" s="6"/>
      <c r="Q55" s="24" t="s">
        <v>161</v>
      </c>
      <c r="R55" s="45">
        <v>7327.3899999999994</v>
      </c>
      <c r="S55" s="36"/>
    </row>
    <row r="56" spans="1:19" ht="15.75" customHeight="1" thickBot="1">
      <c r="C56" s="11"/>
      <c r="M56" s="6"/>
      <c r="Q56" s="25"/>
      <c r="S56" s="41"/>
    </row>
    <row r="57" spans="1:19" ht="15.75" customHeight="1" thickTop="1">
      <c r="C57" s="11"/>
      <c r="M57" s="6"/>
      <c r="Q57" s="25"/>
    </row>
    <row r="58" spans="1:19" ht="15.75" customHeight="1">
      <c r="C58" s="11"/>
      <c r="M58" s="6"/>
      <c r="Q58" s="24"/>
    </row>
    <row r="59" spans="1:19" ht="15.75" customHeight="1">
      <c r="C59" s="11"/>
      <c r="M59" s="7"/>
      <c r="Q59" s="25"/>
    </row>
    <row r="60" spans="1:19" ht="15.75" customHeight="1">
      <c r="C60" s="15"/>
      <c r="M60" s="8"/>
      <c r="Q60" s="24"/>
    </row>
    <row r="61" spans="1:19" ht="15.75" customHeight="1">
      <c r="C61" s="8"/>
      <c r="M61" s="9"/>
      <c r="Q61" s="24"/>
    </row>
    <row r="62" spans="1:19" ht="15.75" customHeight="1">
      <c r="C62" s="9"/>
      <c r="M62" s="9"/>
      <c r="Q62" s="24"/>
    </row>
    <row r="63" spans="1:19" ht="15.75" customHeight="1">
      <c r="C63" s="9"/>
      <c r="M63" s="9"/>
      <c r="Q63" s="24"/>
    </row>
    <row r="64" spans="1:19" ht="15.75" customHeight="1">
      <c r="C64" s="9"/>
      <c r="M64" s="9"/>
      <c r="Q64" s="26"/>
    </row>
    <row r="65" spans="3:17" ht="15.75" customHeight="1">
      <c r="C65" s="9"/>
      <c r="M65" s="9"/>
      <c r="Q65" s="27"/>
    </row>
    <row r="66" spans="3:17" ht="15.75" customHeight="1">
      <c r="C66" s="9"/>
      <c r="Q66" s="28"/>
    </row>
    <row r="67" spans="3:17" ht="15.75" customHeight="1">
      <c r="Q67" s="29"/>
    </row>
    <row r="68" spans="3:17" ht="15.75" customHeight="1">
      <c r="Q68" s="28"/>
    </row>
    <row r="69" spans="3:17" ht="15.75" customHeight="1">
      <c r="Q69" s="29"/>
    </row>
    <row r="70" spans="3:17" ht="15.75" customHeight="1">
      <c r="Q70" s="29"/>
    </row>
    <row r="71" spans="3:17" ht="15.75" customHeight="1">
      <c r="Q71" s="9"/>
    </row>
    <row r="72" spans="3:17" ht="15.75" customHeight="1">
      <c r="Q72" s="9"/>
    </row>
  </sheetData>
  <mergeCells count="3">
    <mergeCell ref="Q2:Q3"/>
    <mergeCell ref="R3:S3"/>
    <mergeCell ref="R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2022-12-10T19:03:07Z</dcterms:created>
  <dcterms:modified xsi:type="dcterms:W3CDTF">2022-12-10T19:51:02Z</dcterms:modified>
</cp:coreProperties>
</file>